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cuments\1 DOCUMENTOS MLC\Clientes\Gobierno\DNP\2023 Canasta TIC\Desarrollo contrato\Entregable I\Histogramas incidencia usos Internet Benjamin\"/>
    </mc:Choice>
  </mc:AlternateContent>
  <xr:revisionPtr revIDLastSave="0" documentId="13_ncr:1_{129B5179-016F-4A3E-A6C3-DEAF829A84F6}" xr6:coauthVersionLast="47" xr6:coauthVersionMax="47" xr10:uidLastSave="{00000000-0000-0000-0000-000000000000}"/>
  <bookViews>
    <workbookView xWindow="-120" yWindow="-120" windowWidth="20730" windowHeight="11160" xr2:uid="{D90DEE5C-2C14-4553-9D44-ED5B838AB6C3}"/>
  </bookViews>
  <sheets>
    <sheet name="Hoja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I7" i="1"/>
  <c r="I6" i="1"/>
  <c r="I5" i="1"/>
  <c r="I4" i="1"/>
  <c r="I3" i="1"/>
  <c r="D175" i="1"/>
  <c r="D174" i="1"/>
  <c r="D173" i="1"/>
  <c r="D172" i="1"/>
  <c r="D171" i="1"/>
  <c r="D163" i="1"/>
  <c r="D162" i="1"/>
  <c r="D161" i="1"/>
  <c r="D160" i="1"/>
  <c r="D159" i="1"/>
  <c r="D151" i="1"/>
  <c r="D150" i="1"/>
  <c r="D149" i="1"/>
  <c r="D148" i="1"/>
  <c r="D147" i="1"/>
  <c r="D139" i="1"/>
  <c r="D138" i="1"/>
  <c r="D137" i="1"/>
  <c r="D136" i="1"/>
  <c r="D135" i="1"/>
  <c r="D127" i="1"/>
  <c r="D126" i="1"/>
  <c r="D125" i="1"/>
  <c r="D124" i="1"/>
  <c r="D123" i="1"/>
  <c r="D115" i="1"/>
  <c r="D114" i="1"/>
  <c r="D113" i="1"/>
  <c r="D112" i="1"/>
  <c r="D111" i="1"/>
  <c r="D103" i="1"/>
  <c r="D102" i="1"/>
  <c r="D101" i="1"/>
  <c r="D100" i="1"/>
  <c r="D99" i="1"/>
  <c r="D91" i="1"/>
  <c r="D90" i="1"/>
  <c r="D89" i="1"/>
  <c r="D88" i="1"/>
  <c r="D87" i="1"/>
  <c r="D79" i="1"/>
  <c r="D78" i="1"/>
  <c r="D77" i="1"/>
  <c r="D76" i="1"/>
  <c r="D75" i="1"/>
  <c r="D67" i="1"/>
  <c r="D66" i="1"/>
  <c r="D65" i="1"/>
  <c r="D64" i="1"/>
  <c r="D63" i="1"/>
  <c r="D55" i="1"/>
  <c r="D54" i="1"/>
  <c r="D53" i="1"/>
  <c r="D52" i="1"/>
  <c r="D51" i="1"/>
  <c r="D43" i="1"/>
  <c r="D42" i="1"/>
  <c r="D41" i="1"/>
  <c r="D40" i="1"/>
  <c r="D39" i="1"/>
  <c r="D31" i="1"/>
  <c r="D30" i="1"/>
  <c r="D29" i="1"/>
  <c r="D28" i="1"/>
  <c r="D27" i="1"/>
  <c r="D19" i="1"/>
  <c r="D18" i="1"/>
  <c r="D17" i="1"/>
  <c r="D16" i="1"/>
  <c r="D15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<sst xmlns="http://schemas.openxmlformats.org/spreadsheetml/2006/main" count="276" uniqueCount="113">
  <si>
    <t>Media</t>
  </si>
  <si>
    <t xml:space="preserve"> </t>
  </si>
  <si>
    <t>c.G_TIC_Celular@1.quintil_ing_tot</t>
  </si>
  <si>
    <t>c.G_TIC_Celular@2.quintil_ing_tot</t>
  </si>
  <si>
    <t>c.G_TIC_Celular@3.quintil_ing_tot</t>
  </si>
  <si>
    <t>c.G_TIC_Celular@4.quintil_ing_tot</t>
  </si>
  <si>
    <t>c.G_TIC_Celular@5.quintil_ing_tot</t>
  </si>
  <si>
    <t>N</t>
  </si>
  <si>
    <t>Fuente: Econometría</t>
  </si>
  <si>
    <t>Errores estándar en paréntesis ()</t>
  </si>
  <si>
    <t>Nivel de significancia * 10% * 5% ** 1%</t>
  </si>
  <si>
    <t>c.G_CafeInternet@1.quintil_ing_tot</t>
  </si>
  <si>
    <t>c.G_CafeInternet@2.quintil_ing_tot</t>
  </si>
  <si>
    <t>c.G_CafeInternet@3.quintil_ing_tot</t>
  </si>
  <si>
    <t>c.G_CafeInternet@4.quintil_ing_tot</t>
  </si>
  <si>
    <t>c.G_CafeInternet@5.quintil_ing_tot</t>
  </si>
  <si>
    <t>c.G_Combos@1.quintil_ing_tot</t>
  </si>
  <si>
    <t>c.G_Combos@2.quintil_ing_tot</t>
  </si>
  <si>
    <t>c.G_Combos@3.quintil_ing_tot</t>
  </si>
  <si>
    <t>c.G_Combos@4.quintil_ing_tot</t>
  </si>
  <si>
    <t>c.G_Combos@5.quintil_ing_tot</t>
  </si>
  <si>
    <t>c.G_EquiposMultimedia@1.quintil_ing_tot</t>
  </si>
  <si>
    <t>c.G_EquiposMultimedia@2.quintil_ing_tot</t>
  </si>
  <si>
    <t>c.G_EquiposMultimedia@3.quintil_ing_tot</t>
  </si>
  <si>
    <t>c.G_EquiposMultimedia@4.quintil_ing_tot</t>
  </si>
  <si>
    <t>c.G_EquiposMultimedia@5.quintil_ing_tot</t>
  </si>
  <si>
    <t>c.G_InternetFijo@1.quintil_ing_tot</t>
  </si>
  <si>
    <t>c.G_InternetFijo@2.quintil_ing_tot</t>
  </si>
  <si>
    <t>c.G_InternetFijo@3.quintil_ing_tot</t>
  </si>
  <si>
    <t>c.G_InternetFijo@4.quintil_ing_tot</t>
  </si>
  <si>
    <t>c.G_InternetFijo@5.quintil_ing_tot</t>
  </si>
  <si>
    <t>c.G_LibrosFisicoDigital@1.quintil_ing_tot</t>
  </si>
  <si>
    <t>c.G_LibrosFisicoDigital@2.quintil_ing_tot</t>
  </si>
  <si>
    <t>c.G_LibrosFisicoDigital@3.quintil_ing_tot</t>
  </si>
  <si>
    <t>c.G_LibrosFisicoDigital@4.quintil_ing_tot</t>
  </si>
  <si>
    <t>c.G_LibrosFisicoDigital@5.quintil_ing_tot</t>
  </si>
  <si>
    <t>c.G_PC@1.quintil_ing_tot</t>
  </si>
  <si>
    <t>c.G_PC@2.quintil_ing_tot</t>
  </si>
  <si>
    <t>c.G_PC@3.quintil_ing_tot</t>
  </si>
  <si>
    <t>c.G_PC@4.quintil_ing_tot</t>
  </si>
  <si>
    <t>c.G_PC@5.quintil_ing_tot</t>
  </si>
  <si>
    <t>c.G_PeriodicoFisicoDigital@1.quintil_ing_tot</t>
  </si>
  <si>
    <t>c.G_PeriodicoFisicoDigital@2.quintil_ing_tot</t>
  </si>
  <si>
    <t>c.G_PeriodicoFisicoDigital@3.quintil_ing_tot</t>
  </si>
  <si>
    <t>c.G_PeriodicoFisicoDigital@4.quintil_ing_tot</t>
  </si>
  <si>
    <t>c.G_PeriodicoFisicoDigital@5.quintil_ing_tot</t>
  </si>
  <si>
    <t>c.G_PlataformasStreaming@1.quintil_ing_tot</t>
  </si>
  <si>
    <t>c.G_PlataformasStreaming@2.quintil_ing_tot</t>
  </si>
  <si>
    <t>c.G_PlataformasStreaming@3.quintil_ing_tot</t>
  </si>
  <si>
    <t>c.G_PlataformasStreaming@4.quintil_ing_tot</t>
  </si>
  <si>
    <t>c.G_PlataformasStreaming@5.quintil_ing_tot</t>
  </si>
  <si>
    <t>c.G_ReparacionTecnologia@1.quintil_ing_tot</t>
  </si>
  <si>
    <t>c.G_ReparacionTecnologia@2.quintil_ing_tot</t>
  </si>
  <si>
    <t>c.G_ReparacionTecnologia@3.quintil_ing_tot</t>
  </si>
  <si>
    <t>c.G_ReparacionTecnologia@4.quintil_ing_tot</t>
  </si>
  <si>
    <t>c.G_ReparacionTecnologia@5.quintil_ing_tot</t>
  </si>
  <si>
    <t>c.G_Software@1.quintil_ing_tot</t>
  </si>
  <si>
    <t>c.G_Software@2.quintil_ing_tot</t>
  </si>
  <si>
    <t>c.G_Software@3.quintil_ing_tot</t>
  </si>
  <si>
    <t>c.G_Software@4.quintil_ing_tot</t>
  </si>
  <si>
    <t>c.G_Software@5.quintil_ing_tot</t>
  </si>
  <si>
    <t>c.G_TV@1.quintil_ing_tot</t>
  </si>
  <si>
    <t>c.G_TV@2.quintil_ing_tot</t>
  </si>
  <si>
    <t>c.G_TV@3.quintil_ing_tot</t>
  </si>
  <si>
    <t>c.G_TV@4.quintil_ing_tot</t>
  </si>
  <si>
    <t>c.G_TV@5.quintil_ing_tot</t>
  </si>
  <si>
    <t>c.G_TelefoniaFija@1.quintil_ing_tot</t>
  </si>
  <si>
    <t>c.G_TelefoniaFija@2.quintil_ing_tot</t>
  </si>
  <si>
    <t>c.G_TelefoniaFija@3.quintil_ing_tot</t>
  </si>
  <si>
    <t>c.G_TelefoniaFija@4.quintil_ing_tot</t>
  </si>
  <si>
    <t>c.G_TelefoniaFija@5.quintil_ing_tot</t>
  </si>
  <si>
    <t>c.G_Telefono@1.quintil_ing_tot</t>
  </si>
  <si>
    <t>c.G_Telefono@2.quintil_ing_tot</t>
  </si>
  <si>
    <t>c.G_Telefono@3.quintil_ing_tot</t>
  </si>
  <si>
    <t>c.G_Telefono@4.quintil_ing_tot</t>
  </si>
  <si>
    <t>c.G_Telefono@5.quintil_ing_tot</t>
  </si>
  <si>
    <t>c.G_Television@1.quintil_ing_tot</t>
  </si>
  <si>
    <t>c.G_Television@2.quintil_ing_tot</t>
  </si>
  <si>
    <t>c.G_Television@3.quintil_ing_tot</t>
  </si>
  <si>
    <t>c.G_Television@4.quintil_ing_tot</t>
  </si>
  <si>
    <t>c.G_Television@5.quintil_ing_tot</t>
  </si>
  <si>
    <t>Compra dispositivo</t>
  </si>
  <si>
    <t>Dispositivo</t>
  </si>
  <si>
    <t>Suscripción</t>
  </si>
  <si>
    <t>Pago plan</t>
  </si>
  <si>
    <t>Gastos totales</t>
  </si>
  <si>
    <t>Quintil 1</t>
  </si>
  <si>
    <t>Quintil 2</t>
  </si>
  <si>
    <t>Quintil 3</t>
  </si>
  <si>
    <t>Quintil 4</t>
  </si>
  <si>
    <t>Quintil 5</t>
  </si>
  <si>
    <t>Proporción del gasto total</t>
  </si>
  <si>
    <t>Móvil</t>
  </si>
  <si>
    <t>Combos</t>
  </si>
  <si>
    <t>Internet fijo</t>
  </si>
  <si>
    <t>Telefonía fija</t>
  </si>
  <si>
    <t>TV Suscripción</t>
  </si>
  <si>
    <t>Café internet</t>
  </si>
  <si>
    <t>TIC</t>
  </si>
  <si>
    <t>Equipos multimedia</t>
  </si>
  <si>
    <t>Libros físico digital</t>
  </si>
  <si>
    <t>PC</t>
  </si>
  <si>
    <t>Periódicos físico digital</t>
  </si>
  <si>
    <t>Streamming</t>
  </si>
  <si>
    <t>Reparación tecnología</t>
  </si>
  <si>
    <t>Software</t>
  </si>
  <si>
    <t>Dispositivo TV</t>
  </si>
  <si>
    <t>Teléfono</t>
  </si>
  <si>
    <t>Combos fijo</t>
  </si>
  <si>
    <t>Café Internet</t>
  </si>
  <si>
    <t>Equipos terminales</t>
  </si>
  <si>
    <t>Contenido y software</t>
  </si>
  <si>
    <t>Soporte reparaciones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</si>
</sst>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7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4" fontId="0" fillId="0" borderId="0" xfId="1" applyFont="1"/>
    <xf numFmtId="44" fontId="2" fillId="0" borderId="1" xfId="1" applyFont="1" applyBorder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2" fillId="0" borderId="2" xfId="1" applyFont="1" applyBorder="1" applyAlignment="1">
      <alignment horizontal="center" vertical="center" wrapText="1"/>
    </xf>
    <xf numFmtId="0" fontId="4" fillId="0" borderId="0" xfId="0" applyFont="1"/>
    <xf numFmtId="164" fontId="4" fillId="0" borderId="0" xfId="1" applyNumberFormat="1" applyFont="1"/>
    <xf numFmtId="44" fontId="2" fillId="0" borderId="0" xfId="1" applyFont="1" applyBorder="1" applyAlignment="1">
      <alignment horizontal="center" vertical="center" wrapText="1"/>
    </xf>
    <xf numFmtId="165" fontId="2" fillId="0" borderId="0" xfId="2" applyNumberFormat="1" applyFont="1" applyBorder="1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wrapText="1"/>
    </xf>
    <xf numFmtId="165" fontId="0" fillId="0" borderId="0" xfId="2" applyNumberFormat="1" applyFont="1"/>
    <xf numFmtId="0" fontId="4" fillId="0" borderId="0" xfId="0" applyFont="1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Distribución</a:t>
            </a:r>
            <a:r>
              <a:rPr lang="es-CO" baseline="0"/>
              <a:t> gasto TIC por quintil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Hoja1!$K$9</c:f>
              <c:strCache>
                <c:ptCount val="1"/>
                <c:pt idx="0">
                  <c:v>Móvil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Hoja1!$K$10:$K$14</c:f>
              <c:numCache>
                <c:formatCode>0.0%</c:formatCode>
                <c:ptCount val="5"/>
                <c:pt idx="0">
                  <c:v>0.63285586555964535</c:v>
                </c:pt>
                <c:pt idx="1">
                  <c:v>0.63016790921302335</c:v>
                </c:pt>
                <c:pt idx="2">
                  <c:v>0.57095653679044645</c:v>
                </c:pt>
                <c:pt idx="3">
                  <c:v>0.5443508624520238</c:v>
                </c:pt>
                <c:pt idx="4">
                  <c:v>0.54490475241748049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3-43F0-925E-F3002D499C6B}"/>
            </c:ext>
          </c:extLst>
        </c:ser>
        <c:ser>
          <c:idx val="1"/>
          <c:order val="1"/>
          <c:tx>
            <c:strRef>
              <c:f>Hoja1!$L$9</c:f>
              <c:strCache>
                <c:ptCount val="1"/>
                <c:pt idx="0">
                  <c:v>Combos fijo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Hoja1!$L$10:$L$14</c:f>
              <c:numCache>
                <c:formatCode>0.0%</c:formatCode>
                <c:ptCount val="5"/>
                <c:pt idx="0">
                  <c:v>0.16881761158615949</c:v>
                </c:pt>
                <c:pt idx="1">
                  <c:v>0.15174871487318875</c:v>
                </c:pt>
                <c:pt idx="2">
                  <c:v>0.22539291581406842</c:v>
                </c:pt>
                <c:pt idx="3">
                  <c:v>0.29163641050279332</c:v>
                </c:pt>
                <c:pt idx="4">
                  <c:v>0.31335270453123976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3-43F0-925E-F3002D499C6B}"/>
            </c:ext>
          </c:extLst>
        </c:ser>
        <c:ser>
          <c:idx val="2"/>
          <c:order val="2"/>
          <c:tx>
            <c:strRef>
              <c:f>Hoja1!$M$9</c:f>
              <c:strCache>
                <c:ptCount val="1"/>
                <c:pt idx="0">
                  <c:v>Internet fijo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Hoja1!$M$10:$M$14</c:f>
              <c:numCache>
                <c:formatCode>0.0%</c:formatCode>
                <c:ptCount val="5"/>
                <c:pt idx="0">
                  <c:v>6.2105944608411484E-2</c:v>
                </c:pt>
                <c:pt idx="1">
                  <c:v>6.2742459186159075E-2</c:v>
                </c:pt>
                <c:pt idx="2">
                  <c:v>7.20699022938492E-2</c:v>
                </c:pt>
                <c:pt idx="3">
                  <c:v>6.220138965176731E-2</c:v>
                </c:pt>
                <c:pt idx="4">
                  <c:v>3.8265496917825423E-2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3-43F0-925E-F3002D499C6B}"/>
            </c:ext>
          </c:extLst>
        </c:ser>
        <c:ser>
          <c:idx val="3"/>
          <c:order val="3"/>
          <c:tx>
            <c:strRef>
              <c:f>Hoja1!$N$9</c:f>
              <c:strCache>
                <c:ptCount val="1"/>
                <c:pt idx="0">
                  <c:v>Telefonía fija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Hoja1!$N$10:$N$14</c:f>
              <c:numCache>
                <c:formatCode>0.0%</c:formatCode>
                <c:ptCount val="5"/>
                <c:pt idx="0">
                  <c:v>9.9879817100915324E-3</c:v>
                </c:pt>
                <c:pt idx="1">
                  <c:v>7.3308878232319586E-3</c:v>
                </c:pt>
                <c:pt idx="2">
                  <c:v>7.6929922568168023E-3</c:v>
                </c:pt>
                <c:pt idx="3">
                  <c:v>6.63892362465748E-3</c:v>
                </c:pt>
                <c:pt idx="4">
                  <c:v>8.1400045420439663E-3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3-43F0-925E-F3002D499C6B}"/>
            </c:ext>
          </c:extLst>
        </c:ser>
        <c:ser>
          <c:idx val="4"/>
          <c:order val="4"/>
          <c:tx>
            <c:strRef>
              <c:f>Hoja1!$O$9</c:f>
              <c:strCache>
                <c:ptCount val="1"/>
                <c:pt idx="0">
                  <c:v>TV Suscripción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Hoja1!$O$10:$O$14</c:f>
              <c:numCache>
                <c:formatCode>0.0%</c:formatCode>
                <c:ptCount val="5"/>
                <c:pt idx="0">
                  <c:v>4.3315905754640449E-2</c:v>
                </c:pt>
                <c:pt idx="1">
                  <c:v>5.3600153101844947E-2</c:v>
                </c:pt>
                <c:pt idx="2">
                  <c:v>4.8152430034672865E-2</c:v>
                </c:pt>
                <c:pt idx="3">
                  <c:v>3.3142407889663765E-2</c:v>
                </c:pt>
                <c:pt idx="4">
                  <c:v>1.9122135200270535E-2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3-43F0-925E-F3002D499C6B}"/>
            </c:ext>
          </c:extLst>
        </c:ser>
        <c:ser>
          <c:idx val="5"/>
          <c:order val="5"/>
          <c:tx>
            <c:strRef>
              <c:f>Hoja1!$P$9</c:f>
              <c:strCache>
                <c:ptCount val="1"/>
                <c:pt idx="0">
                  <c:v>Café Internet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Hoja1!$P$10:$P$14</c:f>
              <c:numCache>
                <c:formatCode>0.0%</c:formatCode>
                <c:ptCount val="5"/>
                <c:pt idx="0">
                  <c:v>5.8527760970235009E-2</c:v>
                </c:pt>
                <c:pt idx="1">
                  <c:v>7.2277384841917286E-2</c:v>
                </c:pt>
                <c:pt idx="2">
                  <c:v>5.229182666769118E-2</c:v>
                </c:pt>
                <c:pt idx="3">
                  <c:v>2.9907259226197597E-2</c:v>
                </c:pt>
                <c:pt idx="4">
                  <c:v>1.1228022597252148E-2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3-43F0-925E-F3002D499C6B}"/>
            </c:ext>
          </c:extLst>
        </c:ser>
        <c:ser>
          <c:idx val="6"/>
          <c:order val="6"/>
          <c:tx>
            <c:strRef>
              <c:f>Hoja1!$Q$9</c:f>
              <c:strCache>
                <c:ptCount val="1"/>
                <c:pt idx="0">
                  <c:v>Equipos terminales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Hoja1!$Q$10:$Q$14</c:f>
              <c:numCache>
                <c:formatCode>0.0%</c:formatCode>
                <c:ptCount val="5"/>
                <c:pt idx="0">
                  <c:v>1.1347397010335748E-2</c:v>
                </c:pt>
                <c:pt idx="1">
                  <c:v>1.3276579324652498E-2</c:v>
                </c:pt>
                <c:pt idx="2">
                  <c:v>1.4491216685944792E-2</c:v>
                </c:pt>
                <c:pt idx="3">
                  <c:v>1.9653412243683884E-2</c:v>
                </c:pt>
                <c:pt idx="4">
                  <c:v>3.3296916293796004E-2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3-43F0-925E-F3002D499C6B}"/>
            </c:ext>
          </c:extLst>
        </c:ser>
        <c:ser>
          <c:idx val="7"/>
          <c:order val="7"/>
          <c:tx>
            <c:strRef>
              <c:f>Hoja1!$R$9</c:f>
              <c:strCache>
                <c:ptCount val="1"/>
                <c:pt idx="0">
                  <c:v>Contenido y software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Hoja1!$R$10:$R$14</c:f>
              <c:numCache>
                <c:formatCode>0.0%</c:formatCode>
                <c:ptCount val="5"/>
                <c:pt idx="0">
                  <c:v>9.3068030821523082E-3</c:v>
                </c:pt>
                <c:pt idx="1">
                  <c:v>4.5043202724152397E-3</c:v>
                </c:pt>
                <c:pt idx="2">
                  <c:v>4.3469083247282157E-3</c:v>
                </c:pt>
                <c:pt idx="3">
                  <c:v>9.4123007725902385E-3</c:v>
                </c:pt>
                <c:pt idx="4">
                  <c:v>2.3494849866814351E-2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3-43F0-925E-F3002D499C6B}"/>
            </c:ext>
          </c:extLst>
        </c:ser>
        <c:ser>
          <c:idx val="8"/>
          <c:order val="8"/>
          <c:tx>
            <c:strRef>
              <c:f>Hoja1!$S$9</c:f>
              <c:strCache>
                <c:ptCount val="1"/>
                <c:pt idx="0">
                  <c:v>Soporte reparaciones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Hoja1!$J$10:$J$14</c:f>
              <c:strCache>
                <c:ptCount val="5"/>
                <c:pt idx="0">
                  <c:v>Quintil 1</c:v>
                </c:pt>
                <c:pt idx="1">
                  <c:v>Quintil 2</c:v>
                </c:pt>
                <c:pt idx="2">
                  <c:v>Quintil 3</c:v>
                </c:pt>
                <c:pt idx="3">
                  <c:v>Quintil 4</c:v>
                </c:pt>
                <c:pt idx="4">
                  <c:v>Quintil 5</c:v>
                </c:pt>
              </c:strCache>
            </c:strRef>
          </c:cat>
          <c:val>
            <c:numRef>
              <c:f>Hoja1!$S$10:$S$14</c:f>
              <c:numCache>
                <c:formatCode>0.0%</c:formatCode>
                <c:ptCount val="5"/>
                <c:pt idx="0">
                  <c:v>3.7347297183288942E-3</c:v>
                </c:pt>
                <c:pt idx="1">
                  <c:v>4.3515913635669718E-3</c:v>
                </c:pt>
                <c:pt idx="2">
                  <c:v>4.6052711317822537E-3</c:v>
                </c:pt>
                <c:pt idx="3">
                  <c:v>3.0570336366226498E-3</c:v>
                </c:pt>
                <c:pt idx="4">
                  <c:v>8.1951176332769812E-3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3-43F0-925E-F3002D49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751040"/>
        <c:axId val="407753200"/>
      </c:barChart>
      <c:catAx>
        <c:axId val="4077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7753200"/>
        <c:crosses val="autoZero"/>
        <c:auto val="1"/>
        <c:lblAlgn val="ctr"/>
        <c:lblOffset val="100"/>
        <c:noMultiLvlLbl val="0"/>
      </c:catAx>
      <c:valAx>
        <c:axId val="4077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Participación en el gasto</a:t>
                </a:r>
                <a:r>
                  <a:rPr lang="es-CO" baseline="0"/>
                  <a:t> TIC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7751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733425</xdr:colOff>
      <xdr:row>15</xdr:row>
      <xdr:rowOff>19049</xdr:rowOff>
    </xdr:from>
    <xdr:to>
      <xdr:col>17</xdr:col>
      <xdr:colOff>714375</xdr:colOff>
      <xdr:row>34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9222B-E765-447A-6B40-3CDAE29A7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0ED5-38D2-46B3-83C5-C43F52245D33}">
  <dimension ref="A1:Y180"/>
  <sheetViews>
    <sheetView tabSelected="1" workbookViewId="0">
      <selection activeCell="A14" sqref="A14"/>
    </sheetView>
  </sheetViews>
  <sheetFormatPr baseColWidth="10" defaultRowHeight="15" x14ac:dyDescent="0.25"/>
  <cols>
    <col min="1" max="1" width="22.28515625" bestFit="1" customWidth="1"/>
    <col min="2" max="4" width="11.42578125" style="6"/>
    <col min="9" max="10" width="13" bestFit="1" customWidth="1"/>
  </cols>
  <sheetData>
    <row r="1" spans="1:25" ht="15.75" thickBot="1" x14ac:dyDescent="0.3">
      <c r="A1" s="1" t="s">
        <v>0</v>
      </c>
      <c r="G1" t="s">
        <v>85</v>
      </c>
    </row>
    <row r="2" spans="1:25" ht="27.75" thickBot="1" x14ac:dyDescent="0.3">
      <c r="A2" s="2" t="s">
        <v>84</v>
      </c>
      <c r="B2" s="7" t="s">
        <v>1</v>
      </c>
      <c r="C2" s="7"/>
      <c r="D2" s="12" t="s">
        <v>91</v>
      </c>
      <c r="I2" t="s">
        <v>98</v>
      </c>
      <c r="K2" s="17" t="s">
        <v>92</v>
      </c>
      <c r="L2" s="17" t="s">
        <v>93</v>
      </c>
      <c r="M2" s="17" t="s">
        <v>94</v>
      </c>
      <c r="N2" s="17" t="s">
        <v>95</v>
      </c>
      <c r="O2" s="17" t="s">
        <v>96</v>
      </c>
      <c r="P2" s="17" t="s">
        <v>97</v>
      </c>
      <c r="Q2" s="17" t="s">
        <v>99</v>
      </c>
      <c r="R2" s="17" t="s">
        <v>100</v>
      </c>
      <c r="S2" s="17" t="s">
        <v>101</v>
      </c>
      <c r="T2" s="17" t="s">
        <v>102</v>
      </c>
      <c r="U2" s="17" t="s">
        <v>103</v>
      </c>
      <c r="V2" s="17" t="s">
        <v>104</v>
      </c>
      <c r="W2" s="17" t="s">
        <v>105</v>
      </c>
      <c r="X2" s="17" t="s">
        <v>106</v>
      </c>
      <c r="Y2" s="17" t="s">
        <v>107</v>
      </c>
    </row>
    <row r="3" spans="1:25" x14ac:dyDescent="0.25">
      <c r="A3" s="2" t="s">
        <v>2</v>
      </c>
      <c r="B3" s="7">
        <v>14875.785180000001</v>
      </c>
      <c r="C3" s="7">
        <v>-377.06776589999998</v>
      </c>
      <c r="D3" s="13">
        <f>+B3/H3</f>
        <v>2.1637810729238312E-2</v>
      </c>
      <c r="G3" s="10" t="s">
        <v>86</v>
      </c>
      <c r="H3" s="11">
        <v>687490.3088</v>
      </c>
      <c r="I3" s="14">
        <f>+SUM(K3:Y3)</f>
        <v>23505.802805264495</v>
      </c>
      <c r="K3" s="7">
        <v>14875.785180000001</v>
      </c>
      <c r="L3" s="7">
        <v>3968.1934879999999</v>
      </c>
      <c r="M3" s="7">
        <v>1459.850087</v>
      </c>
      <c r="N3" s="7">
        <v>234.77552850000001</v>
      </c>
      <c r="O3" s="7">
        <v>1018.1751389999999</v>
      </c>
      <c r="P3" s="7">
        <v>1375.7420079999999</v>
      </c>
      <c r="Q3" s="7">
        <v>3.477440358</v>
      </c>
      <c r="R3" s="7">
        <v>113.0334522</v>
      </c>
      <c r="S3" s="7">
        <v>50.432636870000003</v>
      </c>
      <c r="T3" s="7">
        <v>16.164253779999999</v>
      </c>
      <c r="U3" s="7">
        <v>89.13094452</v>
      </c>
      <c r="V3" s="7">
        <v>87.787820289999999</v>
      </c>
      <c r="W3" s="7">
        <v>0.43522749649999998</v>
      </c>
      <c r="X3" s="7">
        <v>49.941366549999998</v>
      </c>
      <c r="Y3" s="7">
        <v>162.87823270000001</v>
      </c>
    </row>
    <row r="4" spans="1:25" x14ac:dyDescent="0.25">
      <c r="A4" s="3" t="s">
        <v>3</v>
      </c>
      <c r="B4" s="8">
        <v>22546.27421</v>
      </c>
      <c r="C4" s="8">
        <v>-442.09883860000002</v>
      </c>
      <c r="D4" s="13">
        <f t="shared" ref="D4:D7" si="0">+B4/H4</f>
        <v>2.6042356030350652E-2</v>
      </c>
      <c r="G4" s="10" t="s">
        <v>87</v>
      </c>
      <c r="H4" s="11">
        <v>865754.01179999998</v>
      </c>
      <c r="I4" s="14">
        <f>+SUM(K4:Y4)</f>
        <v>35778.201143496197</v>
      </c>
      <c r="K4" s="8">
        <v>22546.27421</v>
      </c>
      <c r="L4" s="8">
        <v>5429.2960439999997</v>
      </c>
      <c r="M4" s="8">
        <v>2244.8123249999999</v>
      </c>
      <c r="N4" s="8">
        <v>262.28597910000002</v>
      </c>
      <c r="O4" s="8">
        <v>1917.7170590000001</v>
      </c>
      <c r="P4" s="8">
        <v>2585.9548129999998</v>
      </c>
      <c r="Q4" s="8">
        <v>4.2650972749999996</v>
      </c>
      <c r="R4" s="8">
        <v>98.624211090000003</v>
      </c>
      <c r="S4" s="8">
        <v>103.3309793</v>
      </c>
      <c r="T4" s="8">
        <v>21.464693350000001</v>
      </c>
      <c r="U4" s="8">
        <v>40.836330770000004</v>
      </c>
      <c r="V4" s="8">
        <v>155.69211110000001</v>
      </c>
      <c r="W4" s="8">
        <v>0.2312415112</v>
      </c>
      <c r="X4" s="8">
        <v>155.73030199999999</v>
      </c>
      <c r="Y4" s="8">
        <v>211.68574699999999</v>
      </c>
    </row>
    <row r="5" spans="1:25" x14ac:dyDescent="0.25">
      <c r="A5" s="3" t="s">
        <v>4</v>
      </c>
      <c r="B5" s="8">
        <v>32268.114099999999</v>
      </c>
      <c r="C5" s="8">
        <v>-542.810923</v>
      </c>
      <c r="D5" s="13">
        <f t="shared" si="0"/>
        <v>2.9670734909901526E-2</v>
      </c>
      <c r="G5" s="10" t="s">
        <v>88</v>
      </c>
      <c r="H5" s="11">
        <v>1087540.1029999999</v>
      </c>
      <c r="I5" s="14">
        <f>+SUM(K5:Y5)</f>
        <v>56515.885222000892</v>
      </c>
      <c r="K5" s="8">
        <v>32268.114099999999</v>
      </c>
      <c r="L5" s="8">
        <v>12738.28016</v>
      </c>
      <c r="M5" s="8">
        <v>4073.0943259999999</v>
      </c>
      <c r="N5" s="8">
        <v>434.77626739999999</v>
      </c>
      <c r="O5" s="8">
        <v>2721.3772090000002</v>
      </c>
      <c r="P5" s="8">
        <v>2955.3188740000001</v>
      </c>
      <c r="Q5" s="8">
        <v>15.513088249999999</v>
      </c>
      <c r="R5" s="8">
        <v>79.516226610000004</v>
      </c>
      <c r="S5" s="8">
        <v>135.8699316</v>
      </c>
      <c r="T5" s="8">
        <v>48.154533720000003</v>
      </c>
      <c r="U5" s="8">
        <v>117.7364611</v>
      </c>
      <c r="V5" s="8">
        <v>260.27097470000001</v>
      </c>
      <c r="W5" s="8">
        <v>0.26215052090000002</v>
      </c>
      <c r="X5" s="8">
        <v>250.0350253</v>
      </c>
      <c r="Y5" s="8">
        <v>417.56589380000003</v>
      </c>
    </row>
    <row r="6" spans="1:25" x14ac:dyDescent="0.25">
      <c r="A6" s="3" t="s">
        <v>5</v>
      </c>
      <c r="B6" s="8">
        <v>48064.157140000003</v>
      </c>
      <c r="C6" s="8">
        <v>-782.4628884</v>
      </c>
      <c r="D6" s="13">
        <f t="shared" si="0"/>
        <v>3.1264931711693637E-2</v>
      </c>
      <c r="G6" s="10" t="s">
        <v>89</v>
      </c>
      <c r="H6" s="11">
        <v>1537318.4750000001</v>
      </c>
      <c r="I6" s="14">
        <f>+SUM(K6:Y6)</f>
        <v>88296.281783215003</v>
      </c>
      <c r="K6" s="8">
        <v>48064.157140000003</v>
      </c>
      <c r="L6" s="8">
        <v>25750.410680000001</v>
      </c>
      <c r="M6" s="8">
        <v>5492.1514280000001</v>
      </c>
      <c r="N6" s="8">
        <v>586.19227109999997</v>
      </c>
      <c r="O6" s="8">
        <v>2926.3513859999998</v>
      </c>
      <c r="P6" s="8">
        <v>2640.6997879999999</v>
      </c>
      <c r="Q6" s="8">
        <v>55.907463669999999</v>
      </c>
      <c r="R6" s="8">
        <v>376.47354180000002</v>
      </c>
      <c r="S6" s="8">
        <v>310.20258230000002</v>
      </c>
      <c r="T6" s="8">
        <v>96.116107830000004</v>
      </c>
      <c r="U6" s="8">
        <v>351.23268460000003</v>
      </c>
      <c r="V6" s="8">
        <v>269.9247034</v>
      </c>
      <c r="W6" s="8">
        <v>7.2488270149999998</v>
      </c>
      <c r="X6" s="8">
        <v>479.51105890000002</v>
      </c>
      <c r="Y6" s="8">
        <v>889.70212059999994</v>
      </c>
    </row>
    <row r="7" spans="1:25" ht="15.75" thickBot="1" x14ac:dyDescent="0.3">
      <c r="A7" s="4" t="s">
        <v>6</v>
      </c>
      <c r="B7" s="9">
        <v>87085.676560000007</v>
      </c>
      <c r="C7" s="9">
        <v>-1139.543318</v>
      </c>
      <c r="D7" s="13">
        <f t="shared" si="0"/>
        <v>2.7475391537386002E-2</v>
      </c>
      <c r="G7" s="10" t="s">
        <v>90</v>
      </c>
      <c r="H7" s="11">
        <v>3169588.1910000001</v>
      </c>
      <c r="I7" s="14">
        <f>+SUM(K7:Y7)</f>
        <v>159818.16303426007</v>
      </c>
      <c r="K7" s="9">
        <v>87085.676560000007</v>
      </c>
      <c r="L7" s="9">
        <v>50079.45362</v>
      </c>
      <c r="M7" s="9">
        <v>6115.5214249999999</v>
      </c>
      <c r="N7" s="9">
        <v>1300.9205730000001</v>
      </c>
      <c r="O7" s="9">
        <v>3056.0645209999998</v>
      </c>
      <c r="P7" s="9">
        <v>1794.4419459999999</v>
      </c>
      <c r="Q7" s="9">
        <v>65.000424780000003</v>
      </c>
      <c r="R7" s="9">
        <v>1654.5579760000001</v>
      </c>
      <c r="S7" s="9">
        <v>1251.610406</v>
      </c>
      <c r="T7" s="9">
        <v>634.87343050000004</v>
      </c>
      <c r="U7" s="9">
        <v>1374.452133</v>
      </c>
      <c r="V7" s="9">
        <v>1309.728646</v>
      </c>
      <c r="W7" s="9">
        <v>91.020206979999998</v>
      </c>
      <c r="X7" s="9">
        <v>1309.1384760000001</v>
      </c>
      <c r="Y7" s="9">
        <v>2695.7026900000001</v>
      </c>
    </row>
    <row r="8" spans="1:25" ht="15.75" thickBot="1" x14ac:dyDescent="0.3">
      <c r="A8" s="4" t="s">
        <v>7</v>
      </c>
      <c r="B8" s="9">
        <v>88328</v>
      </c>
      <c r="C8" s="9"/>
      <c r="D8" s="12"/>
    </row>
    <row r="9" spans="1:25" ht="26.25" x14ac:dyDescent="0.25">
      <c r="A9" s="5" t="s">
        <v>8</v>
      </c>
      <c r="K9" s="17" t="s">
        <v>92</v>
      </c>
      <c r="L9" s="17" t="s">
        <v>108</v>
      </c>
      <c r="M9" s="17" t="s">
        <v>94</v>
      </c>
      <c r="N9" s="17" t="s">
        <v>95</v>
      </c>
      <c r="O9" s="17" t="s">
        <v>96</v>
      </c>
      <c r="P9" s="17" t="s">
        <v>109</v>
      </c>
      <c r="Q9" s="17" t="s">
        <v>110</v>
      </c>
      <c r="R9" s="17" t="s">
        <v>111</v>
      </c>
      <c r="S9" s="17" t="s">
        <v>112</v>
      </c>
      <c r="T9" s="15"/>
    </row>
    <row r="10" spans="1:25" x14ac:dyDescent="0.25">
      <c r="A10" s="5" t="s">
        <v>9</v>
      </c>
      <c r="J10" s="10" t="s">
        <v>86</v>
      </c>
      <c r="K10" s="16">
        <f>+K3/$I3</f>
        <v>0.63285586555964535</v>
      </c>
      <c r="L10" s="16">
        <f>+L3/$I3</f>
        <v>0.16881761158615949</v>
      </c>
      <c r="M10" s="16">
        <f>+M3/$I3</f>
        <v>6.2105944608411484E-2</v>
      </c>
      <c r="N10" s="16">
        <f>+N3/$I3</f>
        <v>9.9879817100915324E-3</v>
      </c>
      <c r="O10" s="16">
        <f>+O3/$I3</f>
        <v>4.3315905754640449E-2</v>
      </c>
      <c r="P10" s="16">
        <f t="shared" ref="L10:P10" si="1">+P3/$I3</f>
        <v>5.8527760970235009E-2</v>
      </c>
      <c r="Q10" s="16">
        <f>+(Q3+S3+X3+Y3)/$I3</f>
        <v>1.1347397010335748E-2</v>
      </c>
      <c r="R10" s="16">
        <f>+(R3+T3+U3+W3)/$I3</f>
        <v>9.3068030821523082E-3</v>
      </c>
      <c r="S10" s="16">
        <f>+V3/$I3</f>
        <v>3.7347297183288942E-3</v>
      </c>
    </row>
    <row r="11" spans="1:25" x14ac:dyDescent="0.25">
      <c r="A11" s="5" t="s">
        <v>10</v>
      </c>
      <c r="J11" s="10" t="s">
        <v>87</v>
      </c>
      <c r="K11" s="16">
        <f t="shared" ref="K11:P11" si="2">+K4/$I4</f>
        <v>0.63016790921302335</v>
      </c>
      <c r="L11" s="16">
        <f>+L4/$I4</f>
        <v>0.15174871487318875</v>
      </c>
      <c r="M11" s="16">
        <f>+M4/$I4</f>
        <v>6.2742459186159075E-2</v>
      </c>
      <c r="N11" s="16">
        <f>+N4/$I4</f>
        <v>7.3308878232319586E-3</v>
      </c>
      <c r="O11" s="16">
        <f>+O4/$I4</f>
        <v>5.3600153101844947E-2</v>
      </c>
      <c r="P11" s="16">
        <f t="shared" si="2"/>
        <v>7.2277384841917286E-2</v>
      </c>
      <c r="Q11" s="16">
        <f t="shared" ref="Q11:Q14" si="3">+(Q4+S4+X4+Y4)/$I4</f>
        <v>1.3276579324652498E-2</v>
      </c>
      <c r="R11" s="16">
        <f t="shared" ref="R11:R14" si="4">+(R4+T4+U4+W4)/$I4</f>
        <v>4.5043202724152397E-3</v>
      </c>
      <c r="S11" s="16">
        <f t="shared" ref="S11:S14" si="5">+V4/$I4</f>
        <v>4.3515913635669718E-3</v>
      </c>
    </row>
    <row r="12" spans="1:25" x14ac:dyDescent="0.25">
      <c r="A12" s="1"/>
      <c r="J12" s="10" t="s">
        <v>88</v>
      </c>
      <c r="K12" s="16">
        <f t="shared" ref="K12:P12" si="6">+K5/$I5</f>
        <v>0.57095653679044645</v>
      </c>
      <c r="L12" s="16">
        <f>+L5/$I5</f>
        <v>0.22539291581406842</v>
      </c>
      <c r="M12" s="16">
        <f>+M5/$I5</f>
        <v>7.20699022938492E-2</v>
      </c>
      <c r="N12" s="16">
        <f>+N5/$I5</f>
        <v>7.6929922568168023E-3</v>
      </c>
      <c r="O12" s="16">
        <f>+O5/$I5</f>
        <v>4.8152430034672865E-2</v>
      </c>
      <c r="P12" s="16">
        <f t="shared" si="6"/>
        <v>5.229182666769118E-2</v>
      </c>
      <c r="Q12" s="16">
        <f t="shared" si="3"/>
        <v>1.4491216685944792E-2</v>
      </c>
      <c r="R12" s="16">
        <f t="shared" si="4"/>
        <v>4.3469083247282157E-3</v>
      </c>
      <c r="S12" s="16">
        <f t="shared" si="5"/>
        <v>4.6052711317822537E-3</v>
      </c>
    </row>
    <row r="13" spans="1:25" ht="15.75" thickBot="1" x14ac:dyDescent="0.3">
      <c r="A13" s="1" t="s">
        <v>0</v>
      </c>
      <c r="J13" s="10" t="s">
        <v>89</v>
      </c>
      <c r="K13" s="16">
        <f t="shared" ref="K13:P13" si="7">+K6/$I6</f>
        <v>0.5443508624520238</v>
      </c>
      <c r="L13" s="16">
        <f>+L6/$I6</f>
        <v>0.29163641050279332</v>
      </c>
      <c r="M13" s="16">
        <f>+M6/$I6</f>
        <v>6.220138965176731E-2</v>
      </c>
      <c r="N13" s="16">
        <f>+N6/$I6</f>
        <v>6.63892362465748E-3</v>
      </c>
      <c r="O13" s="16">
        <f>+O6/$I6</f>
        <v>3.3142407889663765E-2</v>
      </c>
      <c r="P13" s="16">
        <f t="shared" si="7"/>
        <v>2.9907259226197597E-2</v>
      </c>
      <c r="Q13" s="16">
        <f t="shared" si="3"/>
        <v>1.9653412243683884E-2</v>
      </c>
      <c r="R13" s="16">
        <f t="shared" si="4"/>
        <v>9.4123007725902385E-3</v>
      </c>
      <c r="S13" s="16">
        <f t="shared" si="5"/>
        <v>3.0570336366226498E-3</v>
      </c>
    </row>
    <row r="14" spans="1:25" ht="15.75" thickBot="1" x14ac:dyDescent="0.3">
      <c r="A14" s="2"/>
      <c r="B14" s="7" t="s">
        <v>1</v>
      </c>
      <c r="C14" s="7"/>
      <c r="D14" s="12"/>
      <c r="J14" s="10" t="s">
        <v>90</v>
      </c>
      <c r="K14" s="16">
        <f t="shared" ref="K14:P14" si="8">+K7/$I7</f>
        <v>0.54490475241748049</v>
      </c>
      <c r="L14" s="16">
        <f>+L7/$I7</f>
        <v>0.31335270453123976</v>
      </c>
      <c r="M14" s="16">
        <f>+M7/$I7</f>
        <v>3.8265496917825423E-2</v>
      </c>
      <c r="N14" s="16">
        <f>+N7/$I7</f>
        <v>8.1400045420439663E-3</v>
      </c>
      <c r="O14" s="16">
        <f>+O7/$I7</f>
        <v>1.9122135200270535E-2</v>
      </c>
      <c r="P14" s="16">
        <f t="shared" si="8"/>
        <v>1.1228022597252148E-2</v>
      </c>
      <c r="Q14" s="16">
        <f t="shared" si="3"/>
        <v>3.3296916293796004E-2</v>
      </c>
      <c r="R14" s="16">
        <f t="shared" si="4"/>
        <v>2.3494849866814351E-2</v>
      </c>
      <c r="S14" s="16">
        <f t="shared" si="5"/>
        <v>8.1951176332769812E-3</v>
      </c>
    </row>
    <row r="15" spans="1:25" x14ac:dyDescent="0.25">
      <c r="A15" s="2" t="s">
        <v>11</v>
      </c>
      <c r="B15" s="7">
        <v>1375.7420079999999</v>
      </c>
      <c r="C15" s="7">
        <v>-98.462632819999996</v>
      </c>
      <c r="D15" s="13">
        <f>+B15/H15</f>
        <v>2.0011074925569915E-3</v>
      </c>
      <c r="G15" s="10" t="s">
        <v>86</v>
      </c>
      <c r="H15" s="11">
        <v>687490.3088</v>
      </c>
    </row>
    <row r="16" spans="1:25" x14ac:dyDescent="0.25">
      <c r="A16" s="3" t="s">
        <v>12</v>
      </c>
      <c r="B16" s="8">
        <v>2585.9548129999998</v>
      </c>
      <c r="C16" s="8">
        <v>-227.05057719999999</v>
      </c>
      <c r="D16" s="13">
        <f t="shared" ref="D16:D19" si="9">+B16/H16</f>
        <v>2.9869394513385031E-3</v>
      </c>
      <c r="G16" s="10" t="s">
        <v>87</v>
      </c>
      <c r="H16" s="11">
        <v>865754.01179999998</v>
      </c>
    </row>
    <row r="17" spans="1:8" x14ac:dyDescent="0.25">
      <c r="A17" s="3" t="s">
        <v>13</v>
      </c>
      <c r="B17" s="8">
        <v>2955.3188740000001</v>
      </c>
      <c r="C17" s="8">
        <v>-263.00004869999998</v>
      </c>
      <c r="D17" s="13">
        <f t="shared" si="9"/>
        <v>2.7174343877965487E-3</v>
      </c>
      <c r="G17" s="10" t="s">
        <v>88</v>
      </c>
      <c r="H17" s="11">
        <v>1087540.1029999999</v>
      </c>
    </row>
    <row r="18" spans="1:8" x14ac:dyDescent="0.25">
      <c r="A18" s="3" t="s">
        <v>14</v>
      </c>
      <c r="B18" s="8">
        <v>2640.6997879999999</v>
      </c>
      <c r="C18" s="8">
        <v>-250.79667000000001</v>
      </c>
      <c r="D18" s="13">
        <f t="shared" si="9"/>
        <v>1.7177311213930476E-3</v>
      </c>
      <c r="G18" s="10" t="s">
        <v>89</v>
      </c>
      <c r="H18" s="11">
        <v>1537318.4750000001</v>
      </c>
    </row>
    <row r="19" spans="1:8" ht="15.75" thickBot="1" x14ac:dyDescent="0.3">
      <c r="A19" s="4" t="s">
        <v>15</v>
      </c>
      <c r="B19" s="9">
        <v>1794.4419459999999</v>
      </c>
      <c r="C19" s="9">
        <v>-218.52648980000001</v>
      </c>
      <c r="D19" s="13">
        <f t="shared" si="9"/>
        <v>5.6614356120309004E-4</v>
      </c>
      <c r="G19" s="10" t="s">
        <v>90</v>
      </c>
      <c r="H19" s="11">
        <v>3169588.1910000001</v>
      </c>
    </row>
    <row r="20" spans="1:8" ht="15.75" thickBot="1" x14ac:dyDescent="0.3">
      <c r="A20" s="4" t="s">
        <v>7</v>
      </c>
      <c r="B20" s="9">
        <v>88328</v>
      </c>
      <c r="C20" s="9"/>
      <c r="D20" s="12"/>
    </row>
    <row r="21" spans="1:8" x14ac:dyDescent="0.25">
      <c r="A21" s="5" t="s">
        <v>8</v>
      </c>
    </row>
    <row r="22" spans="1:8" x14ac:dyDescent="0.25">
      <c r="A22" s="5" t="s">
        <v>9</v>
      </c>
    </row>
    <row r="23" spans="1:8" x14ac:dyDescent="0.25">
      <c r="A23" s="5" t="s">
        <v>10</v>
      </c>
    </row>
    <row r="24" spans="1:8" x14ac:dyDescent="0.25">
      <c r="A24" s="1"/>
    </row>
    <row r="25" spans="1:8" ht="15.75" thickBot="1" x14ac:dyDescent="0.3">
      <c r="A25" s="1" t="s">
        <v>0</v>
      </c>
    </row>
    <row r="26" spans="1:8" ht="15.75" thickBot="1" x14ac:dyDescent="0.3">
      <c r="A26" s="2"/>
      <c r="B26" s="7" t="s">
        <v>1</v>
      </c>
      <c r="C26" s="7"/>
      <c r="D26" s="12"/>
    </row>
    <row r="27" spans="1:8" x14ac:dyDescent="0.25">
      <c r="A27" s="2" t="s">
        <v>16</v>
      </c>
      <c r="B27" s="7">
        <v>3968.1934879999999</v>
      </c>
      <c r="C27" s="7">
        <v>-281.33057939999998</v>
      </c>
      <c r="D27" s="13">
        <f>+B27/H27</f>
        <v>5.7719991645066226E-3</v>
      </c>
      <c r="G27" s="10" t="s">
        <v>86</v>
      </c>
      <c r="H27" s="11">
        <v>687490.3088</v>
      </c>
    </row>
    <row r="28" spans="1:8" x14ac:dyDescent="0.25">
      <c r="A28" s="3" t="s">
        <v>17</v>
      </c>
      <c r="B28" s="8">
        <v>5429.2960439999997</v>
      </c>
      <c r="C28" s="8">
        <v>-314.78754409999999</v>
      </c>
      <c r="D28" s="13">
        <f t="shared" ref="D28:D31" si="10">+B28/H28</f>
        <v>6.2711763041234806E-3</v>
      </c>
      <c r="G28" s="10" t="s">
        <v>87</v>
      </c>
      <c r="H28" s="11">
        <v>865754.01179999998</v>
      </c>
    </row>
    <row r="29" spans="1:8" x14ac:dyDescent="0.25">
      <c r="A29" s="3" t="s">
        <v>18</v>
      </c>
      <c r="B29" s="8">
        <v>12738.28016</v>
      </c>
      <c r="C29" s="8">
        <v>-532.00354719999996</v>
      </c>
      <c r="D29" s="13">
        <f t="shared" si="10"/>
        <v>1.1712929136922137E-2</v>
      </c>
      <c r="G29" s="10" t="s">
        <v>88</v>
      </c>
      <c r="H29" s="11">
        <v>1087540.1029999999</v>
      </c>
    </row>
    <row r="30" spans="1:8" x14ac:dyDescent="0.25">
      <c r="A30" s="3" t="s">
        <v>19</v>
      </c>
      <c r="B30" s="8">
        <v>25750.410680000001</v>
      </c>
      <c r="C30" s="8">
        <v>-1015.768087</v>
      </c>
      <c r="D30" s="13">
        <f t="shared" si="10"/>
        <v>1.6750212203102549E-2</v>
      </c>
      <c r="G30" s="10" t="s">
        <v>89</v>
      </c>
      <c r="H30" s="11">
        <v>1537318.4750000001</v>
      </c>
    </row>
    <row r="31" spans="1:8" ht="15.75" thickBot="1" x14ac:dyDescent="0.3">
      <c r="A31" s="4" t="s">
        <v>20</v>
      </c>
      <c r="B31" s="9">
        <v>50079.45362</v>
      </c>
      <c r="C31" s="9">
        <v>-1245.6066149999999</v>
      </c>
      <c r="D31" s="13">
        <f t="shared" si="10"/>
        <v>1.5799987443857813E-2</v>
      </c>
      <c r="G31" s="10" t="s">
        <v>90</v>
      </c>
      <c r="H31" s="11">
        <v>3169588.1910000001</v>
      </c>
    </row>
    <row r="32" spans="1:8" ht="15.75" thickBot="1" x14ac:dyDescent="0.3">
      <c r="A32" s="4" t="s">
        <v>7</v>
      </c>
      <c r="B32" s="9">
        <v>88328</v>
      </c>
      <c r="C32" s="9"/>
      <c r="D32" s="12"/>
    </row>
    <row r="33" spans="1:8" x14ac:dyDescent="0.25">
      <c r="A33" s="5" t="s">
        <v>8</v>
      </c>
    </row>
    <row r="34" spans="1:8" x14ac:dyDescent="0.25">
      <c r="A34" s="5" t="s">
        <v>9</v>
      </c>
    </row>
    <row r="35" spans="1:8" x14ac:dyDescent="0.25">
      <c r="A35" s="5" t="s">
        <v>10</v>
      </c>
    </row>
    <row r="36" spans="1:8" x14ac:dyDescent="0.25">
      <c r="A36" s="1"/>
    </row>
    <row r="37" spans="1:8" ht="15.75" thickBot="1" x14ac:dyDescent="0.3">
      <c r="A37" s="1" t="s">
        <v>0</v>
      </c>
    </row>
    <row r="38" spans="1:8" ht="15.75" thickBot="1" x14ac:dyDescent="0.3">
      <c r="A38" s="2"/>
      <c r="B38" s="7" t="s">
        <v>1</v>
      </c>
      <c r="C38" s="7"/>
      <c r="D38" s="12"/>
    </row>
    <row r="39" spans="1:8" ht="27" x14ac:dyDescent="0.25">
      <c r="A39" s="2" t="s">
        <v>21</v>
      </c>
      <c r="B39" s="7">
        <v>3.477440358</v>
      </c>
      <c r="C39" s="7">
        <v>-2.0243893690000001</v>
      </c>
      <c r="D39" s="13">
        <f>+B39/H39</f>
        <v>5.0581663675664022E-6</v>
      </c>
      <c r="G39" s="10" t="s">
        <v>86</v>
      </c>
      <c r="H39" s="11">
        <v>687490.3088</v>
      </c>
    </row>
    <row r="40" spans="1:8" ht="27" x14ac:dyDescent="0.25">
      <c r="A40" s="3" t="s">
        <v>22</v>
      </c>
      <c r="B40" s="8">
        <v>4.2650972749999996</v>
      </c>
      <c r="C40" s="8">
        <v>-2.0860592150000001</v>
      </c>
      <c r="D40" s="13">
        <f t="shared" ref="D40:D43" si="11">+B40/H40</f>
        <v>4.9264539544349123E-6</v>
      </c>
      <c r="G40" s="10" t="s">
        <v>87</v>
      </c>
      <c r="H40" s="11">
        <v>865754.01179999998</v>
      </c>
    </row>
    <row r="41" spans="1:8" ht="27" x14ac:dyDescent="0.25">
      <c r="A41" s="3" t="s">
        <v>23</v>
      </c>
      <c r="B41" s="8">
        <v>15.513088249999999</v>
      </c>
      <c r="C41" s="8">
        <v>-5.4935479650000003</v>
      </c>
      <c r="D41" s="13">
        <f t="shared" si="11"/>
        <v>1.4264382717664253E-5</v>
      </c>
      <c r="G41" s="10" t="s">
        <v>88</v>
      </c>
      <c r="H41" s="11">
        <v>1087540.1029999999</v>
      </c>
    </row>
    <row r="42" spans="1:8" ht="27" x14ac:dyDescent="0.25">
      <c r="A42" s="3" t="s">
        <v>24</v>
      </c>
      <c r="B42" s="8">
        <v>55.907463669999999</v>
      </c>
      <c r="C42" s="8">
        <v>-23.14865795</v>
      </c>
      <c r="D42" s="13">
        <f t="shared" si="11"/>
        <v>3.6366871652927995E-5</v>
      </c>
      <c r="G42" s="10" t="s">
        <v>89</v>
      </c>
      <c r="H42" s="11">
        <v>1537318.4750000001</v>
      </c>
    </row>
    <row r="43" spans="1:8" ht="27.75" thickBot="1" x14ac:dyDescent="0.3">
      <c r="A43" s="4" t="s">
        <v>25</v>
      </c>
      <c r="B43" s="9">
        <v>65.000424780000003</v>
      </c>
      <c r="C43" s="9">
        <v>-26.87286503</v>
      </c>
      <c r="D43" s="13">
        <f t="shared" si="11"/>
        <v>2.0507529957540785E-5</v>
      </c>
      <c r="G43" s="10" t="s">
        <v>90</v>
      </c>
      <c r="H43" s="11">
        <v>3169588.1910000001</v>
      </c>
    </row>
    <row r="44" spans="1:8" ht="15.75" thickBot="1" x14ac:dyDescent="0.3">
      <c r="A44" s="4" t="s">
        <v>7</v>
      </c>
      <c r="B44" s="9">
        <v>88328</v>
      </c>
      <c r="C44" s="9"/>
      <c r="D44" s="12"/>
    </row>
    <row r="45" spans="1:8" x14ac:dyDescent="0.25">
      <c r="A45" s="5" t="s">
        <v>8</v>
      </c>
    </row>
    <row r="46" spans="1:8" x14ac:dyDescent="0.25">
      <c r="A46" s="5" t="s">
        <v>9</v>
      </c>
    </row>
    <row r="47" spans="1:8" x14ac:dyDescent="0.25">
      <c r="A47" s="5" t="s">
        <v>10</v>
      </c>
    </row>
    <row r="48" spans="1:8" x14ac:dyDescent="0.25">
      <c r="A48" s="1"/>
    </row>
    <row r="49" spans="1:8" ht="15.75" thickBot="1" x14ac:dyDescent="0.3">
      <c r="A49" s="1" t="s">
        <v>0</v>
      </c>
    </row>
    <row r="50" spans="1:8" ht="15.75" thickBot="1" x14ac:dyDescent="0.3">
      <c r="A50" s="2"/>
      <c r="B50" s="7" t="s">
        <v>1</v>
      </c>
      <c r="C50" s="7"/>
      <c r="D50" s="12"/>
    </row>
    <row r="51" spans="1:8" x14ac:dyDescent="0.25">
      <c r="A51" s="2" t="s">
        <v>26</v>
      </c>
      <c r="B51" s="7">
        <v>1459.850087</v>
      </c>
      <c r="C51" s="7">
        <v>-148.01424789999999</v>
      </c>
      <c r="D51" s="13">
        <f>+B51/H51</f>
        <v>2.1234482411077735E-3</v>
      </c>
      <c r="G51" s="10" t="s">
        <v>86</v>
      </c>
      <c r="H51" s="11">
        <v>687490.3088</v>
      </c>
    </row>
    <row r="52" spans="1:8" x14ac:dyDescent="0.25">
      <c r="A52" s="3" t="s">
        <v>27</v>
      </c>
      <c r="B52" s="8">
        <v>2244.8123249999999</v>
      </c>
      <c r="C52" s="8">
        <v>-135.1485132</v>
      </c>
      <c r="D52" s="13">
        <f t="shared" ref="D52:D55" si="12">+B52/H52</f>
        <v>2.5928985536350937E-3</v>
      </c>
      <c r="G52" s="10" t="s">
        <v>87</v>
      </c>
      <c r="H52" s="11">
        <v>865754.01179999998</v>
      </c>
    </row>
    <row r="53" spans="1:8" x14ac:dyDescent="0.25">
      <c r="A53" s="3" t="s">
        <v>28</v>
      </c>
      <c r="B53" s="8">
        <v>4073.0943259999999</v>
      </c>
      <c r="C53" s="8">
        <v>-212.71760029999999</v>
      </c>
      <c r="D53" s="13">
        <f t="shared" si="12"/>
        <v>3.745235982346115E-3</v>
      </c>
      <c r="G53" s="10" t="s">
        <v>88</v>
      </c>
      <c r="H53" s="11">
        <v>1087540.1029999999</v>
      </c>
    </row>
    <row r="54" spans="1:8" x14ac:dyDescent="0.25">
      <c r="A54" s="3" t="s">
        <v>29</v>
      </c>
      <c r="B54" s="8">
        <v>5492.1514280000001</v>
      </c>
      <c r="C54" s="8">
        <v>-284.62023699999997</v>
      </c>
      <c r="D54" s="13">
        <f t="shared" si="12"/>
        <v>3.5725528036732921E-3</v>
      </c>
      <c r="G54" s="10" t="s">
        <v>89</v>
      </c>
      <c r="H54" s="11">
        <v>1537318.4750000001</v>
      </c>
    </row>
    <row r="55" spans="1:8" ht="15.75" thickBot="1" x14ac:dyDescent="0.3">
      <c r="A55" s="4" t="s">
        <v>30</v>
      </c>
      <c r="B55" s="9">
        <v>6115.5214249999999</v>
      </c>
      <c r="C55" s="9">
        <v>-531.76838859999998</v>
      </c>
      <c r="D55" s="13">
        <f t="shared" si="12"/>
        <v>1.9294372191204316E-3</v>
      </c>
      <c r="G55" s="10" t="s">
        <v>90</v>
      </c>
      <c r="H55" s="11">
        <v>3169588.1910000001</v>
      </c>
    </row>
    <row r="56" spans="1:8" ht="15.75" thickBot="1" x14ac:dyDescent="0.3">
      <c r="A56" s="4" t="s">
        <v>7</v>
      </c>
      <c r="B56" s="9">
        <v>88328</v>
      </c>
      <c r="C56" s="9"/>
      <c r="D56" s="12"/>
    </row>
    <row r="57" spans="1:8" x14ac:dyDescent="0.25">
      <c r="A57" s="5" t="s">
        <v>8</v>
      </c>
    </row>
    <row r="58" spans="1:8" x14ac:dyDescent="0.25">
      <c r="A58" s="5" t="s">
        <v>9</v>
      </c>
    </row>
    <row r="59" spans="1:8" x14ac:dyDescent="0.25">
      <c r="A59" s="5" t="s">
        <v>10</v>
      </c>
    </row>
    <row r="60" spans="1:8" x14ac:dyDescent="0.25">
      <c r="A60" s="1"/>
    </row>
    <row r="61" spans="1:8" ht="15.75" thickBot="1" x14ac:dyDescent="0.3">
      <c r="A61" s="1" t="s">
        <v>0</v>
      </c>
    </row>
    <row r="62" spans="1:8" ht="15.75" thickBot="1" x14ac:dyDescent="0.3">
      <c r="A62" s="2"/>
      <c r="B62" s="7" t="s">
        <v>1</v>
      </c>
      <c r="C62" s="7"/>
      <c r="D62" s="12"/>
    </row>
    <row r="63" spans="1:8" ht="27" x14ac:dyDescent="0.25">
      <c r="A63" s="2" t="s">
        <v>31</v>
      </c>
      <c r="B63" s="7">
        <v>113.0334522</v>
      </c>
      <c r="C63" s="7">
        <v>-56.932145390000002</v>
      </c>
      <c r="D63" s="13">
        <f>+B63/H63</f>
        <v>1.6441461174528777E-4</v>
      </c>
      <c r="G63" s="10" t="s">
        <v>86</v>
      </c>
      <c r="H63" s="11">
        <v>687490.3088</v>
      </c>
    </row>
    <row r="64" spans="1:8" ht="27" x14ac:dyDescent="0.25">
      <c r="A64" s="3" t="s">
        <v>32</v>
      </c>
      <c r="B64" s="8">
        <v>98.624211090000003</v>
      </c>
      <c r="C64" s="8">
        <v>-42.323235820000001</v>
      </c>
      <c r="D64" s="13">
        <f t="shared" ref="D64:D67" si="13">+B64/H64</f>
        <v>1.1391712859054407E-4</v>
      </c>
      <c r="G64" s="10" t="s">
        <v>87</v>
      </c>
      <c r="H64" s="11">
        <v>865754.01179999998</v>
      </c>
    </row>
    <row r="65" spans="1:8" ht="27" x14ac:dyDescent="0.25">
      <c r="A65" s="3" t="s">
        <v>33</v>
      </c>
      <c r="B65" s="8">
        <v>79.516226610000004</v>
      </c>
      <c r="C65" s="8">
        <v>-32.676628790000002</v>
      </c>
      <c r="D65" s="13">
        <f t="shared" si="13"/>
        <v>7.3115673059460508E-5</v>
      </c>
      <c r="G65" s="10" t="s">
        <v>88</v>
      </c>
      <c r="H65" s="11">
        <v>1087540.1029999999</v>
      </c>
    </row>
    <row r="66" spans="1:8" ht="27" x14ac:dyDescent="0.25">
      <c r="A66" s="3" t="s">
        <v>34</v>
      </c>
      <c r="B66" s="8">
        <v>376.47354180000002</v>
      </c>
      <c r="C66" s="8">
        <v>-121.6249887</v>
      </c>
      <c r="D66" s="13">
        <f t="shared" si="13"/>
        <v>2.4488975311377819E-4</v>
      </c>
      <c r="G66" s="10" t="s">
        <v>89</v>
      </c>
      <c r="H66" s="11">
        <v>1537318.4750000001</v>
      </c>
    </row>
    <row r="67" spans="1:8" ht="27.75" thickBot="1" x14ac:dyDescent="0.3">
      <c r="A67" s="4" t="s">
        <v>35</v>
      </c>
      <c r="B67" s="9">
        <v>1654.5579760000001</v>
      </c>
      <c r="C67" s="9">
        <v>-301.71643599999999</v>
      </c>
      <c r="D67" s="13">
        <f t="shared" si="13"/>
        <v>5.2201039261128414E-4</v>
      </c>
      <c r="G67" s="10" t="s">
        <v>90</v>
      </c>
      <c r="H67" s="11">
        <v>3169588.1910000001</v>
      </c>
    </row>
    <row r="68" spans="1:8" ht="15.75" thickBot="1" x14ac:dyDescent="0.3">
      <c r="A68" s="4" t="s">
        <v>7</v>
      </c>
      <c r="B68" s="9">
        <v>88328</v>
      </c>
      <c r="C68" s="9"/>
      <c r="D68" s="12"/>
    </row>
    <row r="69" spans="1:8" x14ac:dyDescent="0.25">
      <c r="A69" s="5" t="s">
        <v>8</v>
      </c>
    </row>
    <row r="70" spans="1:8" x14ac:dyDescent="0.25">
      <c r="A70" s="5" t="s">
        <v>9</v>
      </c>
    </row>
    <row r="71" spans="1:8" x14ac:dyDescent="0.25">
      <c r="A71" s="5" t="s">
        <v>10</v>
      </c>
    </row>
    <row r="72" spans="1:8" x14ac:dyDescent="0.25">
      <c r="A72" s="1"/>
    </row>
    <row r="73" spans="1:8" ht="15.75" thickBot="1" x14ac:dyDescent="0.3">
      <c r="A73" s="1" t="s">
        <v>0</v>
      </c>
    </row>
    <row r="74" spans="1:8" ht="15.75" thickBot="1" x14ac:dyDescent="0.3">
      <c r="A74" s="2"/>
      <c r="B74" s="7" t="s">
        <v>1</v>
      </c>
      <c r="C74" s="7"/>
      <c r="D74" s="12"/>
    </row>
    <row r="75" spans="1:8" x14ac:dyDescent="0.25">
      <c r="A75" s="2" t="s">
        <v>36</v>
      </c>
      <c r="B75" s="7">
        <v>50.432636870000003</v>
      </c>
      <c r="C75" s="7">
        <v>-23.97806538</v>
      </c>
      <c r="D75" s="13">
        <f>+B75/H75</f>
        <v>7.3357596790024743E-5</v>
      </c>
      <c r="G75" s="10" t="s">
        <v>86</v>
      </c>
      <c r="H75" s="11">
        <v>687490.3088</v>
      </c>
    </row>
    <row r="76" spans="1:8" x14ac:dyDescent="0.25">
      <c r="A76" s="3" t="s">
        <v>37</v>
      </c>
      <c r="B76" s="8">
        <v>103.3309793</v>
      </c>
      <c r="C76" s="8">
        <v>-51.390029349999999</v>
      </c>
      <c r="D76" s="13">
        <f t="shared" ref="D76:D79" si="14">+B76/H76</f>
        <v>1.1935374008277856E-4</v>
      </c>
      <c r="G76" s="10" t="s">
        <v>87</v>
      </c>
      <c r="H76" s="11">
        <v>865754.01179999998</v>
      </c>
    </row>
    <row r="77" spans="1:8" x14ac:dyDescent="0.25">
      <c r="A77" s="3" t="s">
        <v>38</v>
      </c>
      <c r="B77" s="8">
        <v>135.8699316</v>
      </c>
      <c r="C77" s="8">
        <v>-37.557995769999998</v>
      </c>
      <c r="D77" s="13">
        <f t="shared" si="14"/>
        <v>1.2493326105878785E-4</v>
      </c>
      <c r="G77" s="10" t="s">
        <v>88</v>
      </c>
      <c r="H77" s="11">
        <v>1087540.1029999999</v>
      </c>
    </row>
    <row r="78" spans="1:8" x14ac:dyDescent="0.25">
      <c r="A78" s="3" t="s">
        <v>39</v>
      </c>
      <c r="B78" s="8">
        <v>310.20258230000002</v>
      </c>
      <c r="C78" s="8">
        <v>-64.044803610000002</v>
      </c>
      <c r="D78" s="13">
        <f t="shared" si="14"/>
        <v>2.0178160045855169E-4</v>
      </c>
      <c r="G78" s="10" t="s">
        <v>89</v>
      </c>
      <c r="H78" s="11">
        <v>1537318.4750000001</v>
      </c>
    </row>
    <row r="79" spans="1:8" ht="15.75" thickBot="1" x14ac:dyDescent="0.3">
      <c r="A79" s="4" t="s">
        <v>40</v>
      </c>
      <c r="B79" s="9">
        <v>1251.610406</v>
      </c>
      <c r="C79" s="9">
        <v>-183.53640659999999</v>
      </c>
      <c r="D79" s="13">
        <f t="shared" si="14"/>
        <v>3.9488107936353677E-4</v>
      </c>
      <c r="G79" s="10" t="s">
        <v>90</v>
      </c>
      <c r="H79" s="11">
        <v>3169588.1910000001</v>
      </c>
    </row>
    <row r="80" spans="1:8" ht="15.75" thickBot="1" x14ac:dyDescent="0.3">
      <c r="A80" s="4" t="s">
        <v>7</v>
      </c>
      <c r="B80" s="9">
        <v>88328</v>
      </c>
      <c r="C80" s="9"/>
      <c r="D80" s="12"/>
    </row>
    <row r="81" spans="1:8" x14ac:dyDescent="0.25">
      <c r="A81" s="5" t="s">
        <v>8</v>
      </c>
    </row>
    <row r="82" spans="1:8" x14ac:dyDescent="0.25">
      <c r="A82" s="5" t="s">
        <v>9</v>
      </c>
    </row>
    <row r="83" spans="1:8" x14ac:dyDescent="0.25">
      <c r="A83" s="5" t="s">
        <v>10</v>
      </c>
    </row>
    <row r="84" spans="1:8" x14ac:dyDescent="0.25">
      <c r="A84" s="1"/>
    </row>
    <row r="85" spans="1:8" ht="15.75" thickBot="1" x14ac:dyDescent="0.3">
      <c r="A85" s="1" t="s">
        <v>0</v>
      </c>
    </row>
    <row r="86" spans="1:8" ht="15.75" thickBot="1" x14ac:dyDescent="0.3">
      <c r="A86" s="2"/>
      <c r="B86" s="7" t="s">
        <v>1</v>
      </c>
      <c r="C86" s="7"/>
      <c r="D86" s="12"/>
    </row>
    <row r="87" spans="1:8" ht="27" x14ac:dyDescent="0.25">
      <c r="A87" s="2" t="s">
        <v>41</v>
      </c>
      <c r="B87" s="7">
        <v>16.164253779999999</v>
      </c>
      <c r="C87" s="7">
        <v>-7.1318560179999997</v>
      </c>
      <c r="D87" s="13">
        <f>+B87/H87</f>
        <v>2.3511973293433572E-5</v>
      </c>
      <c r="G87" s="10" t="s">
        <v>86</v>
      </c>
      <c r="H87" s="11">
        <v>687490.3088</v>
      </c>
    </row>
    <row r="88" spans="1:8" ht="27" x14ac:dyDescent="0.25">
      <c r="A88" s="3" t="s">
        <v>42</v>
      </c>
      <c r="B88" s="8">
        <v>21.464693350000001</v>
      </c>
      <c r="C88" s="8">
        <v>-7.9347258250000001</v>
      </c>
      <c r="D88" s="13">
        <f t="shared" ref="D88:D91" si="15">+B88/H88</f>
        <v>2.4793062529820092E-5</v>
      </c>
      <c r="G88" s="10" t="s">
        <v>87</v>
      </c>
      <c r="H88" s="11">
        <v>865754.01179999998</v>
      </c>
    </row>
    <row r="89" spans="1:8" ht="27" x14ac:dyDescent="0.25">
      <c r="A89" s="3" t="s">
        <v>43</v>
      </c>
      <c r="B89" s="8">
        <v>48.154533720000003</v>
      </c>
      <c r="C89" s="8">
        <v>-21.277380709999999</v>
      </c>
      <c r="D89" s="13">
        <f t="shared" si="15"/>
        <v>4.4278398182434668E-5</v>
      </c>
      <c r="G89" s="10" t="s">
        <v>88</v>
      </c>
      <c r="H89" s="11">
        <v>1087540.1029999999</v>
      </c>
    </row>
    <row r="90" spans="1:8" ht="27" x14ac:dyDescent="0.25">
      <c r="A90" s="3" t="s">
        <v>44</v>
      </c>
      <c r="B90" s="8">
        <v>96.116107830000004</v>
      </c>
      <c r="C90" s="8">
        <v>-42.300090130000001</v>
      </c>
      <c r="D90" s="13">
        <f t="shared" si="15"/>
        <v>6.2521923331468446E-5</v>
      </c>
      <c r="G90" s="10" t="s">
        <v>89</v>
      </c>
      <c r="H90" s="11">
        <v>1537318.4750000001</v>
      </c>
    </row>
    <row r="91" spans="1:8" ht="27.75" thickBot="1" x14ac:dyDescent="0.3">
      <c r="A91" s="4" t="s">
        <v>45</v>
      </c>
      <c r="B91" s="9">
        <v>634.87343050000004</v>
      </c>
      <c r="C91" s="9">
        <v>-226.45355929999999</v>
      </c>
      <c r="D91" s="13">
        <f t="shared" si="15"/>
        <v>2.0030155094050199E-4</v>
      </c>
      <c r="G91" s="10" t="s">
        <v>90</v>
      </c>
      <c r="H91" s="11">
        <v>3169588.1910000001</v>
      </c>
    </row>
    <row r="92" spans="1:8" ht="15.75" thickBot="1" x14ac:dyDescent="0.3">
      <c r="A92" s="4" t="s">
        <v>7</v>
      </c>
      <c r="B92" s="9">
        <v>88328</v>
      </c>
      <c r="C92" s="9"/>
      <c r="D92" s="12"/>
    </row>
    <row r="93" spans="1:8" x14ac:dyDescent="0.25">
      <c r="A93" s="5" t="s">
        <v>8</v>
      </c>
    </row>
    <row r="94" spans="1:8" x14ac:dyDescent="0.25">
      <c r="A94" s="5" t="s">
        <v>9</v>
      </c>
    </row>
    <row r="95" spans="1:8" x14ac:dyDescent="0.25">
      <c r="A95" s="5" t="s">
        <v>10</v>
      </c>
    </row>
    <row r="96" spans="1:8" x14ac:dyDescent="0.25">
      <c r="A96" s="1"/>
    </row>
    <row r="97" spans="1:8" ht="15.75" thickBot="1" x14ac:dyDescent="0.3">
      <c r="A97" s="1" t="s">
        <v>0</v>
      </c>
    </row>
    <row r="98" spans="1:8" ht="15.75" thickBot="1" x14ac:dyDescent="0.3">
      <c r="A98" s="2"/>
      <c r="B98" s="7" t="s">
        <v>1</v>
      </c>
      <c r="C98" s="7"/>
      <c r="D98" s="12"/>
    </row>
    <row r="99" spans="1:8" ht="27" x14ac:dyDescent="0.25">
      <c r="A99" s="2" t="s">
        <v>46</v>
      </c>
      <c r="B99" s="7">
        <v>89.13094452</v>
      </c>
      <c r="C99" s="7">
        <v>-47.413103530000001</v>
      </c>
      <c r="D99" s="13">
        <f>+B99/H99</f>
        <v>1.2964683775044947E-4</v>
      </c>
      <c r="G99" s="10" t="s">
        <v>86</v>
      </c>
      <c r="H99" s="11">
        <v>687490.3088</v>
      </c>
    </row>
    <row r="100" spans="1:8" ht="27" x14ac:dyDescent="0.25">
      <c r="A100" s="3" t="s">
        <v>47</v>
      </c>
      <c r="B100" s="8">
        <v>40.836330770000004</v>
      </c>
      <c r="C100" s="8">
        <v>-14.84376911</v>
      </c>
      <c r="D100" s="13">
        <f t="shared" ref="D100:D103" si="16">+B100/H100</f>
        <v>4.7168514628187144E-5</v>
      </c>
      <c r="G100" s="10" t="s">
        <v>87</v>
      </c>
      <c r="H100" s="11">
        <v>865754.01179999998</v>
      </c>
    </row>
    <row r="101" spans="1:8" ht="27" x14ac:dyDescent="0.25">
      <c r="A101" s="3" t="s">
        <v>48</v>
      </c>
      <c r="B101" s="8">
        <v>117.7364611</v>
      </c>
      <c r="C101" s="8">
        <v>-34.423831980000003</v>
      </c>
      <c r="D101" s="13">
        <f t="shared" si="16"/>
        <v>1.0825942029652218E-4</v>
      </c>
      <c r="G101" s="10" t="s">
        <v>88</v>
      </c>
      <c r="H101" s="11">
        <v>1087540.1029999999</v>
      </c>
    </row>
    <row r="102" spans="1:8" ht="27" x14ac:dyDescent="0.25">
      <c r="A102" s="3" t="s">
        <v>49</v>
      </c>
      <c r="B102" s="8">
        <v>351.23268460000003</v>
      </c>
      <c r="C102" s="8">
        <v>-68.914504440000002</v>
      </c>
      <c r="D102" s="13">
        <f t="shared" si="16"/>
        <v>2.284709969416064E-4</v>
      </c>
      <c r="G102" s="10" t="s">
        <v>89</v>
      </c>
      <c r="H102" s="11">
        <v>1537318.4750000001</v>
      </c>
    </row>
    <row r="103" spans="1:8" ht="27.75" thickBot="1" x14ac:dyDescent="0.3">
      <c r="A103" s="4" t="s">
        <v>50</v>
      </c>
      <c r="B103" s="9">
        <v>1374.452133</v>
      </c>
      <c r="C103" s="9">
        <v>-173.60171460000001</v>
      </c>
      <c r="D103" s="13">
        <f t="shared" si="16"/>
        <v>4.3363744757212846E-4</v>
      </c>
      <c r="G103" s="10" t="s">
        <v>90</v>
      </c>
      <c r="H103" s="11">
        <v>3169588.1910000001</v>
      </c>
    </row>
    <row r="104" spans="1:8" ht="15.75" thickBot="1" x14ac:dyDescent="0.3">
      <c r="A104" s="4" t="s">
        <v>7</v>
      </c>
      <c r="B104" s="9">
        <v>88328</v>
      </c>
      <c r="C104" s="9"/>
      <c r="D104" s="12"/>
    </row>
    <row r="105" spans="1:8" x14ac:dyDescent="0.25">
      <c r="A105" s="5" t="s">
        <v>8</v>
      </c>
    </row>
    <row r="106" spans="1:8" x14ac:dyDescent="0.25">
      <c r="A106" s="5" t="s">
        <v>9</v>
      </c>
    </row>
    <row r="107" spans="1:8" x14ac:dyDescent="0.25">
      <c r="A107" s="5" t="s">
        <v>10</v>
      </c>
    </row>
    <row r="108" spans="1:8" x14ac:dyDescent="0.25">
      <c r="A108" s="1"/>
    </row>
    <row r="109" spans="1:8" ht="15.75" thickBot="1" x14ac:dyDescent="0.3">
      <c r="A109" s="1" t="s">
        <v>0</v>
      </c>
    </row>
    <row r="110" spans="1:8" ht="15.75" thickBot="1" x14ac:dyDescent="0.3">
      <c r="A110" s="2"/>
      <c r="B110" s="7" t="s">
        <v>1</v>
      </c>
      <c r="C110" s="7"/>
      <c r="D110" s="12"/>
    </row>
    <row r="111" spans="1:8" ht="27" x14ac:dyDescent="0.25">
      <c r="A111" s="2" t="s">
        <v>51</v>
      </c>
      <c r="B111" s="7">
        <v>87.787820289999999</v>
      </c>
      <c r="C111" s="7">
        <v>-37.408859749999998</v>
      </c>
      <c r="D111" s="13">
        <f>+B111/H111</f>
        <v>1.2769317496741416E-4</v>
      </c>
      <c r="G111" s="10" t="s">
        <v>86</v>
      </c>
      <c r="H111" s="11">
        <v>687490.3088</v>
      </c>
    </row>
    <row r="112" spans="1:8" ht="27" x14ac:dyDescent="0.25">
      <c r="A112" s="3" t="s">
        <v>52</v>
      </c>
      <c r="B112" s="8">
        <v>155.69211110000001</v>
      </c>
      <c r="C112" s="8">
        <v>-53.368139390000003</v>
      </c>
      <c r="D112" s="13">
        <f t="shared" ref="D112:D115" si="17">+B112/H112</f>
        <v>1.7983412029047211E-4</v>
      </c>
      <c r="G112" s="10" t="s">
        <v>87</v>
      </c>
      <c r="H112" s="11">
        <v>865754.01179999998</v>
      </c>
    </row>
    <row r="113" spans="1:8" ht="27" x14ac:dyDescent="0.25">
      <c r="A113" s="3" t="s">
        <v>53</v>
      </c>
      <c r="B113" s="8">
        <v>260.27097470000001</v>
      </c>
      <c r="C113" s="8">
        <v>-84.245475769999999</v>
      </c>
      <c r="D113" s="13">
        <f t="shared" si="17"/>
        <v>2.3932080663695767E-4</v>
      </c>
      <c r="G113" s="10" t="s">
        <v>88</v>
      </c>
      <c r="H113" s="11">
        <v>1087540.1029999999</v>
      </c>
    </row>
    <row r="114" spans="1:8" ht="27" x14ac:dyDescent="0.25">
      <c r="A114" s="3" t="s">
        <v>54</v>
      </c>
      <c r="B114" s="8">
        <v>269.9247034</v>
      </c>
      <c r="C114" s="8">
        <v>-48.100928209999999</v>
      </c>
      <c r="D114" s="13">
        <f t="shared" si="17"/>
        <v>1.7558151273762581E-4</v>
      </c>
      <c r="G114" s="10" t="s">
        <v>89</v>
      </c>
      <c r="H114" s="11">
        <v>1537318.4750000001</v>
      </c>
    </row>
    <row r="115" spans="1:8" ht="27.75" thickBot="1" x14ac:dyDescent="0.3">
      <c r="A115" s="4" t="s">
        <v>55</v>
      </c>
      <c r="B115" s="9">
        <v>1309.728646</v>
      </c>
      <c r="C115" s="9">
        <v>-272.01078910000001</v>
      </c>
      <c r="D115" s="13">
        <f t="shared" si="17"/>
        <v>4.1321729104082215E-4</v>
      </c>
      <c r="G115" s="10" t="s">
        <v>90</v>
      </c>
      <c r="H115" s="11">
        <v>3169588.1910000001</v>
      </c>
    </row>
    <row r="116" spans="1:8" ht="15.75" thickBot="1" x14ac:dyDescent="0.3">
      <c r="A116" s="4" t="s">
        <v>7</v>
      </c>
      <c r="B116" s="9">
        <v>88328</v>
      </c>
      <c r="C116" s="9"/>
      <c r="D116" s="12"/>
    </row>
    <row r="117" spans="1:8" x14ac:dyDescent="0.25">
      <c r="A117" s="5" t="s">
        <v>8</v>
      </c>
    </row>
    <row r="118" spans="1:8" x14ac:dyDescent="0.25">
      <c r="A118" s="5" t="s">
        <v>9</v>
      </c>
    </row>
    <row r="119" spans="1:8" x14ac:dyDescent="0.25">
      <c r="A119" s="5" t="s">
        <v>10</v>
      </c>
    </row>
    <row r="120" spans="1:8" x14ac:dyDescent="0.25">
      <c r="A120" s="1"/>
    </row>
    <row r="121" spans="1:8" ht="15.75" thickBot="1" x14ac:dyDescent="0.3">
      <c r="A121" s="1" t="s">
        <v>0</v>
      </c>
    </row>
    <row r="122" spans="1:8" ht="15.75" thickBot="1" x14ac:dyDescent="0.3">
      <c r="A122" s="2"/>
      <c r="B122" s="7" t="s">
        <v>1</v>
      </c>
      <c r="C122" s="7"/>
      <c r="D122" s="12"/>
    </row>
    <row r="123" spans="1:8" x14ac:dyDescent="0.25">
      <c r="A123" s="2" t="s">
        <v>56</v>
      </c>
      <c r="B123" s="7">
        <v>0.43522749649999998</v>
      </c>
      <c r="C123" s="7">
        <v>-0.29145595439999999</v>
      </c>
      <c r="D123" s="13">
        <f>+B123/H123</f>
        <v>6.3306710062528809E-7</v>
      </c>
      <c r="G123" s="10" t="s">
        <v>86</v>
      </c>
      <c r="H123" s="11">
        <v>687490.3088</v>
      </c>
    </row>
    <row r="124" spans="1:8" x14ac:dyDescent="0.25">
      <c r="A124" s="3" t="s">
        <v>57</v>
      </c>
      <c r="B124" s="8">
        <v>0.2312415112</v>
      </c>
      <c r="C124" s="8">
        <v>-0.2285032072</v>
      </c>
      <c r="D124" s="13">
        <f t="shared" ref="D124:D127" si="18">+B124/H124</f>
        <v>2.6709839983209882E-7</v>
      </c>
      <c r="G124" s="10" t="s">
        <v>87</v>
      </c>
      <c r="H124" s="11">
        <v>865754.01179999998</v>
      </c>
    </row>
    <row r="125" spans="1:8" x14ac:dyDescent="0.25">
      <c r="A125" s="3" t="s">
        <v>58</v>
      </c>
      <c r="B125" s="8">
        <v>0.26215052090000002</v>
      </c>
      <c r="C125" s="8">
        <v>-0.16413390659999999</v>
      </c>
      <c r="D125" s="13">
        <f t="shared" si="18"/>
        <v>2.4104906125011193E-7</v>
      </c>
      <c r="G125" s="10" t="s">
        <v>88</v>
      </c>
      <c r="H125" s="11">
        <v>1087540.1029999999</v>
      </c>
    </row>
    <row r="126" spans="1:8" x14ac:dyDescent="0.25">
      <c r="A126" s="3" t="s">
        <v>59</v>
      </c>
      <c r="B126" s="8">
        <v>7.2488270149999998</v>
      </c>
      <c r="C126" s="8">
        <v>-5.7488089889999996</v>
      </c>
      <c r="D126" s="13">
        <f t="shared" si="18"/>
        <v>4.7152409425119279E-6</v>
      </c>
      <c r="G126" s="10" t="s">
        <v>89</v>
      </c>
      <c r="H126" s="11">
        <v>1537318.4750000001</v>
      </c>
    </row>
    <row r="127" spans="1:8" ht="15.75" thickBot="1" x14ac:dyDescent="0.3">
      <c r="A127" s="4" t="s">
        <v>60</v>
      </c>
      <c r="B127" s="9">
        <v>91.020206979999998</v>
      </c>
      <c r="C127" s="9">
        <v>-30.88518122</v>
      </c>
      <c r="D127" s="13">
        <f t="shared" si="18"/>
        <v>2.8716729586023372E-5</v>
      </c>
      <c r="G127" s="10" t="s">
        <v>90</v>
      </c>
      <c r="H127" s="11">
        <v>3169588.1910000001</v>
      </c>
    </row>
    <row r="128" spans="1:8" ht="15.75" thickBot="1" x14ac:dyDescent="0.3">
      <c r="A128" s="4" t="s">
        <v>7</v>
      </c>
      <c r="B128" s="9">
        <v>88328</v>
      </c>
      <c r="C128" s="9"/>
      <c r="D128" s="12"/>
    </row>
    <row r="129" spans="1:8" x14ac:dyDescent="0.25">
      <c r="A129" s="5" t="s">
        <v>8</v>
      </c>
    </row>
    <row r="130" spans="1:8" x14ac:dyDescent="0.25">
      <c r="A130" s="5" t="s">
        <v>9</v>
      </c>
    </row>
    <row r="131" spans="1:8" x14ac:dyDescent="0.25">
      <c r="A131" s="5" t="s">
        <v>10</v>
      </c>
    </row>
    <row r="132" spans="1:8" x14ac:dyDescent="0.25">
      <c r="A132" s="1"/>
    </row>
    <row r="133" spans="1:8" ht="15.75" thickBot="1" x14ac:dyDescent="0.3">
      <c r="A133" s="1" t="s">
        <v>0</v>
      </c>
    </row>
    <row r="134" spans="1:8" ht="15.75" thickBot="1" x14ac:dyDescent="0.3">
      <c r="A134" s="2" t="s">
        <v>81</v>
      </c>
      <c r="B134" s="7" t="s">
        <v>1</v>
      </c>
      <c r="C134" s="7"/>
      <c r="D134" s="12"/>
    </row>
    <row r="135" spans="1:8" x14ac:dyDescent="0.25">
      <c r="A135" s="2" t="s">
        <v>61</v>
      </c>
      <c r="B135" s="7">
        <v>49.941366549999998</v>
      </c>
      <c r="C135" s="7">
        <v>-12.49075081</v>
      </c>
      <c r="D135" s="13">
        <f>+B135/H135</f>
        <v>7.2643011706116425E-5</v>
      </c>
      <c r="G135" s="10" t="s">
        <v>86</v>
      </c>
      <c r="H135" s="11">
        <v>687490.3088</v>
      </c>
    </row>
    <row r="136" spans="1:8" x14ac:dyDescent="0.25">
      <c r="A136" s="3" t="s">
        <v>62</v>
      </c>
      <c r="B136" s="8">
        <v>155.73030199999999</v>
      </c>
      <c r="C136" s="8">
        <v>-28.339675939999999</v>
      </c>
      <c r="D136" s="13">
        <f t="shared" ref="D136:D139" si="19">+B136/H136</f>
        <v>1.7987823316720089E-4</v>
      </c>
      <c r="G136" s="10" t="s">
        <v>87</v>
      </c>
      <c r="H136" s="11">
        <v>865754.01179999998</v>
      </c>
    </row>
    <row r="137" spans="1:8" x14ac:dyDescent="0.25">
      <c r="A137" s="3" t="s">
        <v>63</v>
      </c>
      <c r="B137" s="8">
        <v>250.0350253</v>
      </c>
      <c r="C137" s="8">
        <v>-31.88252675</v>
      </c>
      <c r="D137" s="13">
        <f t="shared" si="19"/>
        <v>2.299087864532753E-4</v>
      </c>
      <c r="G137" s="10" t="s">
        <v>88</v>
      </c>
      <c r="H137" s="11">
        <v>1087540.1029999999</v>
      </c>
    </row>
    <row r="138" spans="1:8" x14ac:dyDescent="0.25">
      <c r="A138" s="3" t="s">
        <v>64</v>
      </c>
      <c r="B138" s="8">
        <v>479.51105890000002</v>
      </c>
      <c r="C138" s="8">
        <v>-74.134466439999997</v>
      </c>
      <c r="D138" s="13">
        <f t="shared" si="19"/>
        <v>3.1191393761139833E-4</v>
      </c>
      <c r="G138" s="10" t="s">
        <v>89</v>
      </c>
      <c r="H138" s="11">
        <v>1537318.4750000001</v>
      </c>
    </row>
    <row r="139" spans="1:8" ht="15.75" thickBot="1" x14ac:dyDescent="0.3">
      <c r="A139" s="4" t="s">
        <v>65</v>
      </c>
      <c r="B139" s="9">
        <v>1309.1384760000001</v>
      </c>
      <c r="C139" s="9">
        <v>-147.82955699999999</v>
      </c>
      <c r="D139" s="13">
        <f t="shared" si="19"/>
        <v>4.1303109335063778E-4</v>
      </c>
      <c r="G139" s="10" t="s">
        <v>90</v>
      </c>
      <c r="H139" s="11">
        <v>3169588.1910000001</v>
      </c>
    </row>
    <row r="140" spans="1:8" ht="15.75" thickBot="1" x14ac:dyDescent="0.3">
      <c r="A140" s="4" t="s">
        <v>7</v>
      </c>
      <c r="B140" s="9">
        <v>88328</v>
      </c>
      <c r="C140" s="9"/>
      <c r="D140" s="12"/>
    </row>
    <row r="141" spans="1:8" x14ac:dyDescent="0.25">
      <c r="A141" s="5" t="s">
        <v>8</v>
      </c>
    </row>
    <row r="142" spans="1:8" x14ac:dyDescent="0.25">
      <c r="A142" s="5" t="s">
        <v>9</v>
      </c>
    </row>
    <row r="143" spans="1:8" x14ac:dyDescent="0.25">
      <c r="A143" s="5" t="s">
        <v>10</v>
      </c>
    </row>
    <row r="144" spans="1:8" x14ac:dyDescent="0.25">
      <c r="A144" s="1"/>
    </row>
    <row r="145" spans="1:8" ht="15.75" thickBot="1" x14ac:dyDescent="0.3">
      <c r="A145" s="1" t="s">
        <v>0</v>
      </c>
    </row>
    <row r="146" spans="1:8" ht="15.75" thickBot="1" x14ac:dyDescent="0.3">
      <c r="A146" s="2"/>
      <c r="B146" s="7" t="s">
        <v>1</v>
      </c>
      <c r="C146" s="7"/>
      <c r="D146" s="12"/>
    </row>
    <row r="147" spans="1:8" x14ac:dyDescent="0.25">
      <c r="A147" s="2" t="s">
        <v>66</v>
      </c>
      <c r="B147" s="7">
        <v>234.77552850000001</v>
      </c>
      <c r="C147" s="7">
        <v>-51.27077517</v>
      </c>
      <c r="D147" s="13">
        <f>+B147/H147</f>
        <v>3.4149649165207257E-4</v>
      </c>
      <c r="G147" s="10" t="s">
        <v>86</v>
      </c>
      <c r="H147" s="11">
        <v>687490.3088</v>
      </c>
    </row>
    <row r="148" spans="1:8" x14ac:dyDescent="0.25">
      <c r="A148" s="3" t="s">
        <v>67</v>
      </c>
      <c r="B148" s="8">
        <v>262.28597910000002</v>
      </c>
      <c r="C148" s="8">
        <v>-49.095691590000001</v>
      </c>
      <c r="D148" s="13">
        <f t="shared" ref="D148:D151" si="20">+B148/H148</f>
        <v>3.0295670077771624E-4</v>
      </c>
      <c r="G148" s="10" t="s">
        <v>87</v>
      </c>
      <c r="H148" s="11">
        <v>865754.01179999998</v>
      </c>
    </row>
    <row r="149" spans="1:8" x14ac:dyDescent="0.25">
      <c r="A149" s="3" t="s">
        <v>68</v>
      </c>
      <c r="B149" s="8">
        <v>434.77626739999999</v>
      </c>
      <c r="C149" s="8">
        <v>-83.914532859999994</v>
      </c>
      <c r="D149" s="13">
        <f t="shared" si="20"/>
        <v>3.9977952647508028E-4</v>
      </c>
      <c r="G149" s="10" t="s">
        <v>88</v>
      </c>
      <c r="H149" s="11">
        <v>1087540.1029999999</v>
      </c>
    </row>
    <row r="150" spans="1:8" x14ac:dyDescent="0.25">
      <c r="A150" s="3" t="s">
        <v>69</v>
      </c>
      <c r="B150" s="8">
        <v>586.19227109999997</v>
      </c>
      <c r="C150" s="8">
        <v>-100.5569067</v>
      </c>
      <c r="D150" s="13">
        <f t="shared" si="20"/>
        <v>3.813082849342586E-4</v>
      </c>
      <c r="G150" s="10" t="s">
        <v>89</v>
      </c>
      <c r="H150" s="11">
        <v>1537318.4750000001</v>
      </c>
    </row>
    <row r="151" spans="1:8" ht="15.75" thickBot="1" x14ac:dyDescent="0.3">
      <c r="A151" s="4" t="s">
        <v>70</v>
      </c>
      <c r="B151" s="9">
        <v>1300.9205730000001</v>
      </c>
      <c r="C151" s="9">
        <v>-195.02674930000001</v>
      </c>
      <c r="D151" s="13">
        <f t="shared" si="20"/>
        <v>4.1043835811035176E-4</v>
      </c>
      <c r="G151" s="10" t="s">
        <v>90</v>
      </c>
      <c r="H151" s="11">
        <v>3169588.1910000001</v>
      </c>
    </row>
    <row r="152" spans="1:8" ht="15.75" thickBot="1" x14ac:dyDescent="0.3">
      <c r="A152" s="4" t="s">
        <v>7</v>
      </c>
      <c r="B152" s="9">
        <v>88328</v>
      </c>
      <c r="C152" s="9"/>
      <c r="D152" s="12"/>
    </row>
    <row r="153" spans="1:8" x14ac:dyDescent="0.25">
      <c r="A153" s="5" t="s">
        <v>8</v>
      </c>
    </row>
    <row r="154" spans="1:8" x14ac:dyDescent="0.25">
      <c r="A154" s="5" t="s">
        <v>9</v>
      </c>
    </row>
    <row r="155" spans="1:8" x14ac:dyDescent="0.25">
      <c r="A155" s="5" t="s">
        <v>10</v>
      </c>
    </row>
    <row r="156" spans="1:8" x14ac:dyDescent="0.25">
      <c r="A156" s="1"/>
    </row>
    <row r="157" spans="1:8" ht="15.75" thickBot="1" x14ac:dyDescent="0.3">
      <c r="A157" s="1" t="s">
        <v>0</v>
      </c>
    </row>
    <row r="158" spans="1:8" ht="15.75" thickBot="1" x14ac:dyDescent="0.3">
      <c r="A158" s="2" t="s">
        <v>82</v>
      </c>
      <c r="B158" s="7" t="s">
        <v>1</v>
      </c>
      <c r="C158" s="7"/>
      <c r="D158" s="12"/>
    </row>
    <row r="159" spans="1:8" x14ac:dyDescent="0.25">
      <c r="A159" s="2" t="s">
        <v>71</v>
      </c>
      <c r="B159" s="7">
        <v>162.87823270000001</v>
      </c>
      <c r="C159" s="7">
        <v>-68.827571359999993</v>
      </c>
      <c r="D159" s="13">
        <f>+B159/H159</f>
        <v>2.3691713267100532E-4</v>
      </c>
      <c r="G159" s="10" t="s">
        <v>86</v>
      </c>
      <c r="H159" s="11">
        <v>687490.3088</v>
      </c>
    </row>
    <row r="160" spans="1:8" x14ac:dyDescent="0.25">
      <c r="A160" s="3" t="s">
        <v>72</v>
      </c>
      <c r="B160" s="8">
        <v>211.68574699999999</v>
      </c>
      <c r="C160" s="8">
        <v>-20.410693980000001</v>
      </c>
      <c r="D160" s="13">
        <f t="shared" ref="D160:D163" si="21">+B160/H160</f>
        <v>2.4451026979347345E-4</v>
      </c>
      <c r="G160" s="10" t="s">
        <v>87</v>
      </c>
      <c r="H160" s="11">
        <v>865754.01179999998</v>
      </c>
    </row>
    <row r="161" spans="1:8" x14ac:dyDescent="0.25">
      <c r="A161" s="3" t="s">
        <v>73</v>
      </c>
      <c r="B161" s="8">
        <v>417.56589380000003</v>
      </c>
      <c r="C161" s="8">
        <v>-43.498253669999997</v>
      </c>
      <c r="D161" s="13">
        <f t="shared" si="21"/>
        <v>3.8395447914806692E-4</v>
      </c>
      <c r="G161" s="10" t="s">
        <v>88</v>
      </c>
      <c r="H161" s="11">
        <v>1087540.1029999999</v>
      </c>
    </row>
    <row r="162" spans="1:8" x14ac:dyDescent="0.25">
      <c r="A162" s="3" t="s">
        <v>74</v>
      </c>
      <c r="B162" s="8">
        <v>889.70212059999994</v>
      </c>
      <c r="C162" s="8">
        <v>-101.9703293</v>
      </c>
      <c r="D162" s="13">
        <f t="shared" si="21"/>
        <v>5.7873637445227469E-4</v>
      </c>
      <c r="G162" s="10" t="s">
        <v>89</v>
      </c>
      <c r="H162" s="11">
        <v>1537318.4750000001</v>
      </c>
    </row>
    <row r="163" spans="1:8" ht="15.75" thickBot="1" x14ac:dyDescent="0.3">
      <c r="A163" s="4" t="s">
        <v>75</v>
      </c>
      <c r="B163" s="9">
        <v>2695.7026900000001</v>
      </c>
      <c r="C163" s="9">
        <v>-261.7253566</v>
      </c>
      <c r="D163" s="13">
        <f t="shared" si="21"/>
        <v>8.5048988308778059E-4</v>
      </c>
      <c r="G163" s="10" t="s">
        <v>90</v>
      </c>
      <c r="H163" s="11">
        <v>3169588.1910000001</v>
      </c>
    </row>
    <row r="164" spans="1:8" ht="15.75" thickBot="1" x14ac:dyDescent="0.3">
      <c r="A164" s="4" t="s">
        <v>7</v>
      </c>
      <c r="B164" s="9">
        <v>88328</v>
      </c>
      <c r="C164" s="9"/>
      <c r="D164" s="12"/>
    </row>
    <row r="165" spans="1:8" x14ac:dyDescent="0.25">
      <c r="A165" s="5" t="s">
        <v>8</v>
      </c>
    </row>
    <row r="166" spans="1:8" x14ac:dyDescent="0.25">
      <c r="A166" s="5" t="s">
        <v>9</v>
      </c>
    </row>
    <row r="167" spans="1:8" x14ac:dyDescent="0.25">
      <c r="A167" s="5" t="s">
        <v>10</v>
      </c>
    </row>
    <row r="168" spans="1:8" x14ac:dyDescent="0.25">
      <c r="A168" s="1"/>
    </row>
    <row r="169" spans="1:8" ht="15.75" thickBot="1" x14ac:dyDescent="0.3">
      <c r="A169" s="1" t="s">
        <v>0</v>
      </c>
    </row>
    <row r="170" spans="1:8" ht="15.75" thickBot="1" x14ac:dyDescent="0.3">
      <c r="A170" s="2" t="s">
        <v>83</v>
      </c>
      <c r="B170" s="7" t="s">
        <v>1</v>
      </c>
      <c r="C170" s="7"/>
      <c r="D170" s="12"/>
    </row>
    <row r="171" spans="1:8" x14ac:dyDescent="0.25">
      <c r="A171" s="2" t="s">
        <v>76</v>
      </c>
      <c r="B171" s="7">
        <v>1018.1751389999999</v>
      </c>
      <c r="C171" s="7">
        <v>-65.52697345</v>
      </c>
      <c r="D171" s="13">
        <f>+B171/H171</f>
        <v>1.4810028970113098E-3</v>
      </c>
      <c r="G171" s="10" t="s">
        <v>86</v>
      </c>
      <c r="H171" s="11">
        <v>687490.3088</v>
      </c>
    </row>
    <row r="172" spans="1:8" x14ac:dyDescent="0.25">
      <c r="A172" s="3" t="s">
        <v>77</v>
      </c>
      <c r="B172" s="8">
        <v>1917.7170590000001</v>
      </c>
      <c r="C172" s="8">
        <v>-108.4679491</v>
      </c>
      <c r="D172" s="13">
        <f t="shared" ref="D172:D175" si="22">+B172/H172</f>
        <v>2.2150830754025046E-3</v>
      </c>
      <c r="G172" s="10" t="s">
        <v>87</v>
      </c>
      <c r="H172" s="11">
        <v>865754.01179999998</v>
      </c>
    </row>
    <row r="173" spans="1:8" x14ac:dyDescent="0.25">
      <c r="A173" s="3" t="s">
        <v>78</v>
      </c>
      <c r="B173" s="8">
        <v>2721.3772090000002</v>
      </c>
      <c r="C173" s="8">
        <v>-138.1826949</v>
      </c>
      <c r="D173" s="13">
        <f t="shared" si="22"/>
        <v>2.5023235478793195E-3</v>
      </c>
      <c r="G173" s="10" t="s">
        <v>88</v>
      </c>
      <c r="H173" s="11">
        <v>1087540.1029999999</v>
      </c>
    </row>
    <row r="174" spans="1:8" x14ac:dyDescent="0.25">
      <c r="A174" s="3" t="s">
        <v>79</v>
      </c>
      <c r="B174" s="8">
        <v>2926.3513859999998</v>
      </c>
      <c r="C174" s="8">
        <v>-181.33132610000001</v>
      </c>
      <c r="D174" s="13">
        <f t="shared" si="22"/>
        <v>1.9035427164823474E-3</v>
      </c>
      <c r="G174" s="10" t="s">
        <v>89</v>
      </c>
      <c r="H174" s="11">
        <v>1537318.4750000001</v>
      </c>
    </row>
    <row r="175" spans="1:8" ht="15.75" thickBot="1" x14ac:dyDescent="0.3">
      <c r="A175" s="4" t="s">
        <v>80</v>
      </c>
      <c r="B175" s="9">
        <v>3056.0645209999998</v>
      </c>
      <c r="C175" s="9">
        <v>-281.66733119999998</v>
      </c>
      <c r="D175" s="13">
        <f t="shared" si="22"/>
        <v>9.6418346385743453E-4</v>
      </c>
      <c r="G175" s="10" t="s">
        <v>90</v>
      </c>
      <c r="H175" s="11">
        <v>3169588.1910000001</v>
      </c>
    </row>
    <row r="176" spans="1:8" ht="15.75" thickBot="1" x14ac:dyDescent="0.3">
      <c r="A176" s="4" t="s">
        <v>7</v>
      </c>
      <c r="B176" s="9">
        <v>88328</v>
      </c>
      <c r="C176" s="9"/>
      <c r="D176" s="12"/>
    </row>
    <row r="177" spans="1:1" x14ac:dyDescent="0.25">
      <c r="A177" s="5" t="s">
        <v>8</v>
      </c>
    </row>
    <row r="178" spans="1:1" x14ac:dyDescent="0.25">
      <c r="A178" s="5" t="s">
        <v>9</v>
      </c>
    </row>
    <row r="179" spans="1:1" x14ac:dyDescent="0.25">
      <c r="A179" s="5" t="s">
        <v>10</v>
      </c>
    </row>
    <row r="180" spans="1:1" x14ac:dyDescent="0.25">
      <c r="A1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Eduardo Venegas Venegas</dc:creator>
  <cp:lastModifiedBy>Mauricio Lopez Calderon Lopez</cp:lastModifiedBy>
  <dcterms:created xsi:type="dcterms:W3CDTF">2023-10-12T13:55:38Z</dcterms:created>
  <dcterms:modified xsi:type="dcterms:W3CDTF">2023-10-12T15:49:03Z</dcterms:modified>
</cp:coreProperties>
</file>