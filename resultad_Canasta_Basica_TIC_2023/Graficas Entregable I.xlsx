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\Documents\1 DOCUMENTOS MLC\Clientes\Gobierno\DNP\2023 Canasta TIC\Desarrollo contrato\Entregable I\"/>
    </mc:Choice>
  </mc:AlternateContent>
  <xr:revisionPtr revIDLastSave="0" documentId="13_ncr:1_{F7AD66B0-25FE-4F9C-839D-BF72B83D955F}" xr6:coauthVersionLast="47" xr6:coauthVersionMax="47" xr10:uidLastSave="{00000000-0000-0000-0000-000000000000}"/>
  <bookViews>
    <workbookView xWindow="-120" yWindow="-120" windowWidth="20730" windowHeight="11160" firstSheet="2" activeTab="6" xr2:uid="{FAA94BAC-D29E-4382-9B85-9B4C559BDE59}"/>
  </bookViews>
  <sheets>
    <sheet name="Penetraciones UIT" sheetId="1" r:id="rId1"/>
    <sheet name="Tenencias UIT" sheetId="2" r:id="rId2"/>
    <sheet name="Canastas UIT" sheetId="3" r:id="rId3"/>
    <sheet name="IDI DNP-IBD MINTIC" sheetId="4" r:id="rId4"/>
    <sheet name="GByte vs Mbps" sheetId="5" r:id="rId5"/>
    <sheet name="Cisco 2023" sheetId="6" r:id="rId6"/>
    <sheet name="BM habilidades" sheetId="7" r:id="rId7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7" l="1"/>
  <c r="M4" i="7"/>
  <c r="M3" i="7"/>
  <c r="K7" i="7"/>
  <c r="J7" i="7"/>
  <c r="I7" i="7"/>
  <c r="H7" i="7"/>
  <c r="G7" i="7"/>
  <c r="F7" i="7"/>
  <c r="E7" i="7"/>
  <c r="D7" i="7"/>
  <c r="C11" i="6"/>
  <c r="C10" i="6"/>
  <c r="C9" i="6"/>
  <c r="C8" i="6"/>
  <c r="C7" i="6"/>
  <c r="C6" i="6"/>
  <c r="C5" i="6"/>
  <c r="J21" i="5"/>
  <c r="J20" i="5"/>
  <c r="B23" i="5"/>
  <c r="B22" i="5"/>
  <c r="B21" i="5"/>
  <c r="F21" i="5" s="1"/>
  <c r="B20" i="5"/>
  <c r="F20" i="5" s="1"/>
  <c r="G24" i="5"/>
  <c r="F24" i="5"/>
  <c r="E24" i="5"/>
  <c r="D24" i="5"/>
  <c r="C24" i="5"/>
  <c r="D21" i="5"/>
  <c r="G20" i="5"/>
  <c r="D20" i="5"/>
  <c r="C20" i="5"/>
  <c r="G19" i="5"/>
  <c r="F19" i="5"/>
  <c r="E19" i="5"/>
  <c r="D19" i="5"/>
  <c r="C19" i="5"/>
  <c r="C16" i="5"/>
  <c r="C3" i="5"/>
  <c r="G21" i="5" l="1"/>
  <c r="G22" i="5"/>
  <c r="C21" i="5"/>
  <c r="F22" i="5"/>
  <c r="E21" i="5"/>
  <c r="E20" i="5"/>
  <c r="D11" i="5"/>
  <c r="F7" i="5"/>
  <c r="D9" i="5"/>
  <c r="G10" i="5"/>
  <c r="C6" i="5"/>
  <c r="F6" i="5"/>
  <c r="D8" i="5"/>
  <c r="G9" i="5"/>
  <c r="E11" i="5"/>
  <c r="G6" i="5"/>
  <c r="E8" i="5"/>
  <c r="C10" i="5"/>
  <c r="F11" i="5"/>
  <c r="E7" i="5"/>
  <c r="C9" i="5"/>
  <c r="F10" i="5"/>
  <c r="D6" i="5"/>
  <c r="C7" i="5"/>
  <c r="G7" i="5"/>
  <c r="F8" i="5"/>
  <c r="E9" i="5"/>
  <c r="D10" i="5"/>
  <c r="C11" i="5"/>
  <c r="G11" i="5"/>
  <c r="E6" i="5"/>
  <c r="D7" i="5"/>
  <c r="C8" i="5"/>
  <c r="G8" i="5"/>
  <c r="F9" i="5"/>
  <c r="E10" i="5"/>
  <c r="E16" i="2"/>
  <c r="B21" i="2"/>
  <c r="B20" i="2"/>
  <c r="B19" i="2"/>
  <c r="B18" i="2"/>
  <c r="B17" i="2"/>
  <c r="B16" i="2"/>
  <c r="B15" i="2"/>
  <c r="E22" i="5" l="1"/>
  <c r="C22" i="5"/>
  <c r="F23" i="5"/>
  <c r="D22" i="5"/>
  <c r="G23" i="5"/>
  <c r="E23" i="5" l="1"/>
  <c r="D23" i="5"/>
  <c r="C23" i="5"/>
</calcChain>
</file>

<file path=xl/sharedStrings.xml><?xml version="1.0" encoding="utf-8"?>
<sst xmlns="http://schemas.openxmlformats.org/spreadsheetml/2006/main" count="272" uniqueCount="195">
  <si>
    <t>Telefonía fija</t>
  </si>
  <si>
    <t>Internet Fijo</t>
  </si>
  <si>
    <t>Telefonía Móvil</t>
  </si>
  <si>
    <t>Internet Móvil</t>
  </si>
  <si>
    <t>Usuarios de Internet</t>
  </si>
  <si>
    <t>Penetración servicios por cada 100 habitantes</t>
  </si>
  <si>
    <t>Año</t>
  </si>
  <si>
    <t>Fuente UIT 2023 A</t>
  </si>
  <si>
    <t>Mundo</t>
  </si>
  <si>
    <t>Ingreso medio alto</t>
  </si>
  <si>
    <t>Core Household Indicators</t>
  </si>
  <si>
    <t/>
  </si>
  <si>
    <t>Proportion of households with</t>
  </si>
  <si>
    <t>Percentage of individuals using a</t>
  </si>
  <si>
    <t>(HH1)</t>
  </si>
  <si>
    <t>Year</t>
  </si>
  <si>
    <t>(HH2)</t>
  </si>
  <si>
    <t>(HH3f)</t>
  </si>
  <si>
    <t>(HH3m)</t>
  </si>
  <si>
    <t>(HH4)</t>
  </si>
  <si>
    <t>(HH6)</t>
  </si>
  <si>
    <t>(HH5)</t>
  </si>
  <si>
    <t>(HH7)</t>
  </si>
  <si>
    <t>(HH10)</t>
  </si>
  <si>
    <t>Radio</t>
  </si>
  <si>
    <t>of data</t>
  </si>
  <si>
    <t>TV</t>
  </si>
  <si>
    <t>Fixed line telephone</t>
  </si>
  <si>
    <t>Mobile-cellular telephone</t>
  </si>
  <si>
    <t>Computer</t>
  </si>
  <si>
    <t>Internet access at home</t>
  </si>
  <si>
    <t>Internet</t>
  </si>
  <si>
    <t>Mobile</t>
  </si>
  <si>
    <t>Argentina</t>
  </si>
  <si>
    <t>...</t>
  </si>
  <si>
    <t>62.6</t>
  </si>
  <si>
    <t>92.1</t>
  </si>
  <si>
    <t>42.3</t>
  </si>
  <si>
    <t>88.4</t>
  </si>
  <si>
    <t>88.1</t>
  </si>
  <si>
    <t>Brazil</t>
  </si>
  <si>
    <t>94.9</t>
  </si>
  <si>
    <t>14.3</t>
  </si>
  <si>
    <t>94.5</t>
  </si>
  <si>
    <t>39.4</t>
  </si>
  <si>
    <t>80.2</t>
  </si>
  <si>
    <t>34.2</t>
  </si>
  <si>
    <t>80.5</t>
  </si>
  <si>
    <t>92.2</t>
  </si>
  <si>
    <t>Colombia</t>
  </si>
  <si>
    <t>62.2</t>
  </si>
  <si>
    <t>89.5</t>
  </si>
  <si>
    <t>22.0</t>
  </si>
  <si>
    <t>96.3</t>
  </si>
  <si>
    <t>34.0</t>
  </si>
  <si>
    <t>59.5</t>
  </si>
  <si>
    <t>44.9</t>
  </si>
  <si>
    <t>72.8</t>
  </si>
  <si>
    <t>90.9</t>
  </si>
  <si>
    <t>Ecuador</t>
  </si>
  <si>
    <t>41.7</t>
  </si>
  <si>
    <t>92.5</t>
  </si>
  <si>
    <t>40.4</t>
  </si>
  <si>
    <t>60.4</t>
  </si>
  <si>
    <t>31.3</t>
  </si>
  <si>
    <t>69.7</t>
  </si>
  <si>
    <t>Mexico</t>
  </si>
  <si>
    <t>48.5</t>
  </si>
  <si>
    <t>91.2</t>
  </si>
  <si>
    <t>39.1</t>
  </si>
  <si>
    <t>93.5</t>
  </si>
  <si>
    <t>44.8</t>
  </si>
  <si>
    <t>66.4</t>
  </si>
  <si>
    <t>37.4</t>
  </si>
  <si>
    <t>75.6</t>
  </si>
  <si>
    <t>78.3</t>
  </si>
  <si>
    <t>Peru</t>
  </si>
  <si>
    <t>69.9</t>
  </si>
  <si>
    <t>81.4</t>
  </si>
  <si>
    <t>12.1</t>
  </si>
  <si>
    <t>94.1</t>
  </si>
  <si>
    <t>32.9</t>
  </si>
  <si>
    <t>55.2</t>
  </si>
  <si>
    <t>36.8</t>
  </si>
  <si>
    <t>74.7</t>
  </si>
  <si>
    <t>Panama</t>
  </si>
  <si>
    <t>37.3</t>
  </si>
  <si>
    <t>70.7</t>
  </si>
  <si>
    <t>63.6</t>
  </si>
  <si>
    <t>Computador</t>
  </si>
  <si>
    <t>Acceso Internet en hogar</t>
  </si>
  <si>
    <t>Teléfono móvil</t>
  </si>
  <si>
    <t>Teléfono fijo</t>
  </si>
  <si>
    <t>Acceso fijo Internet</t>
  </si>
  <si>
    <t>Paises ingreso medio alto</t>
  </si>
  <si>
    <t>Región Américas</t>
  </si>
  <si>
    <t>GNIpc</t>
  </si>
  <si>
    <t>Acceso móvil Internet</t>
  </si>
  <si>
    <t>Fuente UIT 2023 B</t>
  </si>
  <si>
    <t>Telefonía móvil bajo uso</t>
  </si>
  <si>
    <t>Paquete móvil voz/datos bajo consumo</t>
  </si>
  <si>
    <t>Paquete móvil voz/datos alto consumo</t>
  </si>
  <si>
    <t>Departamento</t>
  </si>
  <si>
    <t>IDI 2019</t>
  </si>
  <si>
    <t>IBD 2020</t>
  </si>
  <si>
    <t>Bogotá, D.C.</t>
  </si>
  <si>
    <t>Valle del Cauca</t>
  </si>
  <si>
    <t>Risaralda</t>
  </si>
  <si>
    <t>Santander</t>
  </si>
  <si>
    <t>Antioquia</t>
  </si>
  <si>
    <t>Quindío</t>
  </si>
  <si>
    <t>Cundinamarca</t>
  </si>
  <si>
    <t>Meta</t>
  </si>
  <si>
    <t>Tolima</t>
  </si>
  <si>
    <t>Atlántico</t>
  </si>
  <si>
    <t>Caldas</t>
  </si>
  <si>
    <t>Norte de Santander</t>
  </si>
  <si>
    <t>Boyacá</t>
  </si>
  <si>
    <t>Casanare</t>
  </si>
  <si>
    <t>Huila</t>
  </si>
  <si>
    <t>Nariño</t>
  </si>
  <si>
    <t>Bolívar</t>
  </si>
  <si>
    <t>Cesar</t>
  </si>
  <si>
    <t>Magdalena</t>
  </si>
  <si>
    <t>Caquetá</t>
  </si>
  <si>
    <t>San Andrés</t>
  </si>
  <si>
    <t>Córdoba</t>
  </si>
  <si>
    <t>Cauca</t>
  </si>
  <si>
    <t>Arauca</t>
  </si>
  <si>
    <t>Sucre</t>
  </si>
  <si>
    <t>Guaviare</t>
  </si>
  <si>
    <t>La Guajira</t>
  </si>
  <si>
    <t>Putumayo</t>
  </si>
  <si>
    <t>Chocó</t>
  </si>
  <si>
    <t>Guainía</t>
  </si>
  <si>
    <t>Amazonas</t>
  </si>
  <si>
    <t>Vaupés</t>
  </si>
  <si>
    <t>Vichada</t>
  </si>
  <si>
    <t>Mbps</t>
  </si>
  <si>
    <t>GB/mes</t>
  </si>
  <si>
    <t>Uso</t>
  </si>
  <si>
    <t>Uso: uso efectivo promedio sobre el total disponible del servicio</t>
  </si>
  <si>
    <t>Rendimiento: velocidad efectiva entregada considerando errores, congestión y otros factores</t>
  </si>
  <si>
    <t>Capacidad práctica de información en canal según velocidad</t>
  </si>
  <si>
    <t>FCC</t>
  </si>
  <si>
    <t>Ligero</t>
  </si>
  <si>
    <t>Medio</t>
  </si>
  <si>
    <t>Alto</t>
  </si>
  <si>
    <t>Básico</t>
  </si>
  <si>
    <t>Avanzado</t>
  </si>
  <si>
    <t>Medio / Avanzado</t>
  </si>
  <si>
    <t>Servicio básico</t>
  </si>
  <si>
    <t>Servicio medio</t>
  </si>
  <si>
    <t>Servicio avanzado</t>
  </si>
  <si>
    <t>3 a 8 Mbps</t>
  </si>
  <si>
    <t>12 a 25 Mbps</t>
  </si>
  <si>
    <t>Mayor a 25 Mbps</t>
  </si>
  <si>
    <t>Uso ligero</t>
  </si>
  <si>
    <t>Uso avanzado</t>
  </si>
  <si>
    <t>Moderado</t>
  </si>
  <si>
    <t>Uso moderado</t>
  </si>
  <si>
    <t>Funciones básicas: correo electrónico, navegador, video básico, VoIP, radio por internet</t>
  </si>
  <si>
    <t>Básico + una aplicación de alta demanda por usuario</t>
  </si>
  <si>
    <t>Básico + mas de una aplicación de alta demanda por usuario en uso simultaneo</t>
  </si>
  <si>
    <t>Aplicaciones alta demanda ej: Video streaming HD, Videoconferencia multiple, juegos en línea, teletrabajo</t>
  </si>
  <si>
    <t>SD Quality</t>
  </si>
  <si>
    <t>720P HD</t>
  </si>
  <si>
    <t>1080P HD</t>
  </si>
  <si>
    <t>4K UHD</t>
  </si>
  <si>
    <t>Netflix velocidad recomendada</t>
  </si>
  <si>
    <t>Calidad video</t>
  </si>
  <si>
    <t>Rendimiento real canal en relación a velocidad nominal</t>
  </si>
  <si>
    <t xml:space="preserve">Uso efectivo de tiempo de descarga </t>
  </si>
  <si>
    <t>GB por hora</t>
  </si>
  <si>
    <t>Número de uduarios</t>
  </si>
  <si>
    <t>Cisco consumos móviles</t>
  </si>
  <si>
    <t>&gt; 50 GB</t>
  </si>
  <si>
    <t>20 - 50 GB</t>
  </si>
  <si>
    <t>0 - 0,2 GB</t>
  </si>
  <si>
    <t>0,2 - 2GB</t>
  </si>
  <si>
    <t>2 - 5 GB</t>
  </si>
  <si>
    <t>5 - 10 GB</t>
  </si>
  <si>
    <t>10 - 20 GB</t>
  </si>
  <si>
    <t>Básica</t>
  </si>
  <si>
    <t>Media</t>
  </si>
  <si>
    <t>Avanzada</t>
  </si>
  <si>
    <t>Sin Habilidades</t>
  </si>
  <si>
    <t>OECD</t>
  </si>
  <si>
    <t>Promedio ALC</t>
  </si>
  <si>
    <t>Perú</t>
  </si>
  <si>
    <t>México</t>
  </si>
  <si>
    <t>Cuba</t>
  </si>
  <si>
    <t xml:space="preserve">Colombia </t>
  </si>
  <si>
    <t>Chile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</si>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</sst>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_-;\-* #,##0.0_-;_-* &quot;-&quot;??_-;_-@_-"/>
    <numFmt numFmtId="165" formatCode="0.0"/>
    <numFmt numFmtId="166" formatCode="_-* #,##0.0_-;\-* #,##0.0_-;_-* &quot;-&quot;_-;_-@_-"/>
    <numFmt numFmtId="167" formatCode="_-* #,##0.00_-;\-* #,##0.00_-;_-* &quot;-&quot;_-;_-@_-"/>
    <numFmt numFmtId="168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rgb="FF000000"/>
      <name val="Times New Roman"/>
    </font>
    <font>
      <sz val="11"/>
      <name val="Calibri"/>
    </font>
    <font>
      <i/>
      <sz val="8"/>
      <color rgb="FF000000"/>
      <name val="Times New Roman"/>
    </font>
    <font>
      <sz val="8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5" fillId="0" borderId="1" xfId="4" applyFont="1" applyBorder="1" applyAlignment="1">
      <alignment horizontal="right"/>
    </xf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right"/>
    </xf>
    <xf numFmtId="0" fontId="5" fillId="0" borderId="1" xfId="4" applyFont="1" applyBorder="1"/>
    <xf numFmtId="0" fontId="5" fillId="0" borderId="0" xfId="4" applyFont="1"/>
    <xf numFmtId="0" fontId="6" fillId="0" borderId="5" xfId="0" applyFont="1" applyBorder="1" applyAlignment="1">
      <alignment wrapText="1" readingOrder="1"/>
    </xf>
    <xf numFmtId="164" fontId="4" fillId="0" borderId="1" xfId="2" applyNumberFormat="1" applyFont="1" applyBorder="1" applyAlignment="1">
      <alignment horizontal="right" vertical="center"/>
    </xf>
    <xf numFmtId="0" fontId="8" fillId="0" borderId="0" xfId="0" applyFont="1" applyAlignment="1">
      <alignment vertical="top" wrapText="1" readingOrder="1"/>
    </xf>
    <xf numFmtId="0" fontId="8" fillId="0" borderId="5" xfId="0" applyFont="1" applyBorder="1" applyAlignment="1">
      <alignment horizontal="center" vertical="top" wrapText="1" readingOrder="1"/>
    </xf>
    <xf numFmtId="0" fontId="8" fillId="0" borderId="6" xfId="0" applyFont="1" applyBorder="1" applyAlignment="1">
      <alignment horizontal="right" vertical="top" wrapText="1" readingOrder="1"/>
    </xf>
    <xf numFmtId="0" fontId="8" fillId="0" borderId="0" xfId="0" applyFont="1" applyAlignment="1">
      <alignment horizontal="right" vertical="top" wrapText="1" readingOrder="1"/>
    </xf>
    <xf numFmtId="0" fontId="8" fillId="0" borderId="5" xfId="0" applyFont="1" applyBorder="1" applyAlignment="1">
      <alignment vertical="top" wrapText="1" readingOrder="1"/>
    </xf>
    <xf numFmtId="0" fontId="8" fillId="0" borderId="5" xfId="0" applyFont="1" applyBorder="1" applyAlignment="1">
      <alignment horizontal="right" vertical="top" wrapText="1" readingOrder="1"/>
    </xf>
    <xf numFmtId="0" fontId="9" fillId="0" borderId="0" xfId="0" applyFont="1" applyAlignment="1">
      <alignment vertical="top" wrapText="1" readingOrder="1"/>
    </xf>
    <xf numFmtId="0" fontId="9" fillId="0" borderId="0" xfId="0" applyFont="1" applyAlignment="1">
      <alignment horizontal="right" vertical="top" wrapText="1" readingOrder="1"/>
    </xf>
    <xf numFmtId="0" fontId="9" fillId="0" borderId="0" xfId="0" applyFont="1" applyAlignment="1">
      <alignment horizontal="left" vertical="top" wrapText="1" readingOrder="1"/>
    </xf>
    <xf numFmtId="165" fontId="0" fillId="0" borderId="0" xfId="0" applyNumberFormat="1"/>
    <xf numFmtId="0" fontId="2" fillId="0" borderId="0" xfId="0" applyFont="1"/>
    <xf numFmtId="166" fontId="0" fillId="0" borderId="0" xfId="1" applyNumberFormat="1" applyFont="1"/>
    <xf numFmtId="9" fontId="0" fillId="0" borderId="0" xfId="0" applyNumberFormat="1"/>
    <xf numFmtId="167" fontId="0" fillId="0" borderId="0" xfId="1" applyNumberFormat="1" applyFont="1"/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2" borderId="1" xfId="0" applyFill="1" applyBorder="1"/>
    <xf numFmtId="9" fontId="0" fillId="2" borderId="1" xfId="0" applyNumberFormat="1" applyFill="1" applyBorder="1"/>
    <xf numFmtId="9" fontId="0" fillId="2" borderId="2" xfId="0" applyNumberFormat="1" applyFill="1" applyBorder="1"/>
    <xf numFmtId="167" fontId="0" fillId="0" borderId="1" xfId="1" applyNumberFormat="1" applyFont="1" applyBorder="1"/>
    <xf numFmtId="167" fontId="0" fillId="6" borderId="1" xfId="1" applyNumberFormat="1" applyFont="1" applyFill="1" applyBorder="1"/>
    <xf numFmtId="166" fontId="0" fillId="2" borderId="2" xfId="1" applyNumberFormat="1" applyFont="1" applyFill="1" applyBorder="1"/>
    <xf numFmtId="167" fontId="0" fillId="0" borderId="8" xfId="1" applyNumberFormat="1" applyFont="1" applyFill="1" applyBorder="1"/>
    <xf numFmtId="0" fontId="5" fillId="0" borderId="2" xfId="4" applyFont="1" applyBorder="1" applyAlignment="1">
      <alignment horizontal="center"/>
    </xf>
    <xf numFmtId="0" fontId="5" fillId="0" borderId="3" xfId="4" applyFont="1" applyBorder="1" applyAlignment="1">
      <alignment horizontal="center"/>
    </xf>
    <xf numFmtId="0" fontId="5" fillId="0" borderId="4" xfId="4" applyFont="1" applyBorder="1" applyAlignment="1">
      <alignment horizontal="center"/>
    </xf>
    <xf numFmtId="0" fontId="9" fillId="0" borderId="0" xfId="0" applyFont="1" applyAlignment="1">
      <alignment horizontal="left" vertical="top" wrapText="1" readingOrder="1"/>
    </xf>
    <xf numFmtId="0" fontId="7" fillId="0" borderId="0" xfId="0" applyFont="1"/>
    <xf numFmtId="0" fontId="8" fillId="0" borderId="6" xfId="0" applyFont="1" applyBorder="1" applyAlignment="1">
      <alignment horizontal="right" vertical="top" wrapText="1" readingOrder="1"/>
    </xf>
    <xf numFmtId="0" fontId="7" fillId="0" borderId="6" xfId="0" applyFont="1" applyBorder="1" applyAlignment="1">
      <alignment vertical="top" wrapText="1"/>
    </xf>
    <xf numFmtId="0" fontId="8" fillId="0" borderId="5" xfId="0" applyFont="1" applyBorder="1" applyAlignment="1">
      <alignment horizontal="center" vertical="top" wrapText="1" readingOrder="1"/>
    </xf>
    <xf numFmtId="0" fontId="7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 readingOrder="1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textRotation="90" wrapText="1"/>
    </xf>
    <xf numFmtId="0" fontId="0" fillId="7" borderId="1" xfId="0" applyFill="1" applyBorder="1" applyAlignment="1">
      <alignment textRotation="90" wrapText="1"/>
    </xf>
    <xf numFmtId="168" fontId="0" fillId="0" borderId="0" xfId="5" applyNumberFormat="1" applyFont="1"/>
    <xf numFmtId="168" fontId="0" fillId="0" borderId="0" xfId="0" applyNumberFormat="1"/>
  </cellXfs>
  <cellStyles count="6">
    <cellStyle name="Comma 2" xfId="3" xr:uid="{7C43F34C-3EEB-48CC-A084-BEB4F7BF82AB}"/>
    <cellStyle name="Millares [0]" xfId="1" builtinId="6"/>
    <cellStyle name="Millares 2" xfId="2" xr:uid="{86D50B6E-D43E-4B3D-AB00-38310613E0CF}"/>
    <cellStyle name="Normal" xfId="0" builtinId="0"/>
    <cellStyle name="Normal_BDT regions_1" xfId="4" xr:uid="{A6AAA514-B6CA-47F1-86C4-C7FC3BA102EB}"/>
    <cellStyle name="Porcentaj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Penetración servicios a nivel mundial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'Penetraciones UIT'!$B$4</c:f>
              <c:strCache>
                <c:ptCount val="1"/>
                <c:pt idx="0">
                  <c:v>Telefonía fija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UIT'!$C$3:$G$3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UIT'!$C$4:$G$4</c:f>
              <c:numCache>
                <c:formatCode>_-* #,##0.0_-;\-* #,##0.0_-;_-* "-"??_-;_-@_-</c:formatCode>
                <c:ptCount val="5"/>
                <c:pt idx="0">
                  <c:v>12.6</c:v>
                </c:pt>
                <c:pt idx="1">
                  <c:v>11.8</c:v>
                </c:pt>
                <c:pt idx="2">
                  <c:v>11.4</c:v>
                </c:pt>
                <c:pt idx="3">
                  <c:v>11.1</c:v>
                </c:pt>
                <c:pt idx="4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C-475D-9745-C4C66DD92454}"/>
            </c:ext>
          </c:extLst>
        </c:ser>
        <c:ser>
          <c:idx val="1"/>
          <c:order val="1"/>
          <c:tx>
            <c:strRef>
              <c:f>'Penetraciones UIT'!$B$5</c:f>
              <c:strCache>
                <c:ptCount val="1"/>
                <c:pt idx="0">
                  <c:v>Internet Fijo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UIT'!$C$3:$G$3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UIT'!$C$5:$G$5</c:f>
              <c:numCache>
                <c:formatCode>_-* #,##0.0_-;\-* #,##0.0_-;_-* "-"??_-;_-@_-</c:formatCode>
                <c:ptCount val="5"/>
                <c:pt idx="0">
                  <c:v>14.1</c:v>
                </c:pt>
                <c:pt idx="1">
                  <c:v>14.7</c:v>
                </c:pt>
                <c:pt idx="2">
                  <c:v>15.7</c:v>
                </c:pt>
                <c:pt idx="3">
                  <c:v>16.8</c:v>
                </c:pt>
                <c:pt idx="4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C-475D-9745-C4C66DD92454}"/>
            </c:ext>
          </c:extLst>
        </c:ser>
        <c:ser>
          <c:idx val="2"/>
          <c:order val="2"/>
          <c:tx>
            <c:strRef>
              <c:f>'Penetraciones UIT'!$B$6</c:f>
              <c:strCache>
                <c:ptCount val="1"/>
                <c:pt idx="0">
                  <c:v>Telefonía Móvil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UIT'!$C$3:$G$3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UIT'!$C$6:$G$6</c:f>
              <c:numCache>
                <c:formatCode>_-* #,##0.0_-;\-* #,##0.0_-;_-* "-"??_-;_-@_-</c:formatCode>
                <c:ptCount val="5"/>
                <c:pt idx="0">
                  <c:v>104.9</c:v>
                </c:pt>
                <c:pt idx="1">
                  <c:v>105.8</c:v>
                </c:pt>
                <c:pt idx="2">
                  <c:v>105.4</c:v>
                </c:pt>
                <c:pt idx="3">
                  <c:v>106.5</c:v>
                </c:pt>
                <c:pt idx="4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FC-475D-9745-C4C66DD92454}"/>
            </c:ext>
          </c:extLst>
        </c:ser>
        <c:ser>
          <c:idx val="3"/>
          <c:order val="3"/>
          <c:tx>
            <c:strRef>
              <c:f>'Penetraciones UIT'!$B$7</c:f>
              <c:strCache>
                <c:ptCount val="1"/>
                <c:pt idx="0">
                  <c:v>Internet Móvil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UIT'!$C$3:$G$3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UIT'!$C$7:$G$7</c:f>
              <c:numCache>
                <c:formatCode>_-* #,##0.0_-;\-* #,##0.0_-;_-* "-"??_-;_-@_-</c:formatCode>
                <c:ptCount val="5"/>
                <c:pt idx="0">
                  <c:v>69.7</c:v>
                </c:pt>
                <c:pt idx="1">
                  <c:v>74</c:v>
                </c:pt>
                <c:pt idx="2">
                  <c:v>77.7</c:v>
                </c:pt>
                <c:pt idx="3">
                  <c:v>82</c:v>
                </c:pt>
                <c:pt idx="4">
                  <c:v>86.9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FC-475D-9745-C4C66DD92454}"/>
            </c:ext>
          </c:extLst>
        </c:ser>
        <c:ser>
          <c:idx val="4"/>
          <c:order val="4"/>
          <c:tx>
            <c:strRef>
              <c:f>'Penetraciones UIT'!$B$8</c:f>
              <c:strCache>
                <c:ptCount val="1"/>
                <c:pt idx="0">
                  <c:v>Usuarios de Internet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UIT'!$C$3:$G$3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UIT'!$C$8:$G$8</c:f>
              <c:numCache>
                <c:formatCode>_-* #,##0.0_-;\-* #,##0.0_-;_-* "-"??_-;_-@_-</c:formatCode>
                <c:ptCount val="5"/>
                <c:pt idx="0">
                  <c:v>49</c:v>
                </c:pt>
                <c:pt idx="1">
                  <c:v>53.7</c:v>
                </c:pt>
                <c:pt idx="2">
                  <c:v>59.6</c:v>
                </c:pt>
                <c:pt idx="3">
                  <c:v>62.6</c:v>
                </c:pt>
                <c:pt idx="4">
                  <c:v>66.3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FC-475D-9745-C4C66DD92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713056"/>
        <c:axId val="529145032"/>
      </c:lineChart>
      <c:catAx>
        <c:axId val="5237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9145032"/>
        <c:crosses val="autoZero"/>
        <c:auto val="1"/>
        <c:lblAlgn val="ctr"/>
        <c:lblOffset val="100"/>
        <c:noMultiLvlLbl val="0"/>
      </c:catAx>
      <c:valAx>
        <c:axId val="529145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3713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Penetración servicios países ingreso medio alto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'Penetraciones UIT'!$B$20</c:f>
              <c:strCache>
                <c:ptCount val="1"/>
                <c:pt idx="0">
                  <c:v>Telefonía fija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UIT'!$C$19:$G$19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UIT'!$C$20:$G$20</c:f>
              <c:numCache>
                <c:formatCode>_-* #,##0.0_-;\-* #,##0.0_-;_-* "-"??_-;_-@_-</c:formatCode>
                <c:ptCount val="5"/>
                <c:pt idx="0">
                  <c:v>14.6</c:v>
                </c:pt>
                <c:pt idx="1">
                  <c:v>14</c:v>
                </c:pt>
                <c:pt idx="2">
                  <c:v>13.4</c:v>
                </c:pt>
                <c:pt idx="3">
                  <c:v>13.2</c:v>
                </c:pt>
                <c:pt idx="4">
                  <c:v>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F-484A-9DDB-0268880D1CF0}"/>
            </c:ext>
          </c:extLst>
        </c:ser>
        <c:ser>
          <c:idx val="1"/>
          <c:order val="1"/>
          <c:tx>
            <c:strRef>
              <c:f>'Penetraciones UIT'!$B$21</c:f>
              <c:strCache>
                <c:ptCount val="1"/>
                <c:pt idx="0">
                  <c:v>Internet Fijo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UIT'!$C$19:$G$19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UIT'!$C$21:$G$21</c:f>
              <c:numCache>
                <c:formatCode>_-* #,##0.0_-;\-* #,##0.0_-;_-* "-"??_-;_-@_-</c:formatCode>
                <c:ptCount val="5"/>
                <c:pt idx="0">
                  <c:v>22.5</c:v>
                </c:pt>
                <c:pt idx="1">
                  <c:v>24.3</c:v>
                </c:pt>
                <c:pt idx="2">
                  <c:v>26.3</c:v>
                </c:pt>
                <c:pt idx="3">
                  <c:v>28.8</c:v>
                </c:pt>
                <c:pt idx="4">
                  <c:v>30.7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DF-484A-9DDB-0268880D1CF0}"/>
            </c:ext>
          </c:extLst>
        </c:ser>
        <c:ser>
          <c:idx val="2"/>
          <c:order val="2"/>
          <c:tx>
            <c:strRef>
              <c:f>'Penetraciones UIT'!$B$22</c:f>
              <c:strCache>
                <c:ptCount val="1"/>
                <c:pt idx="0">
                  <c:v>Telefonía Móvil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UIT'!$C$19:$G$19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UIT'!$C$22:$G$22</c:f>
              <c:numCache>
                <c:formatCode>_-* #,##0.0_-;\-* #,##0.0_-;_-* "-"??_-;_-@_-</c:formatCode>
                <c:ptCount val="5"/>
                <c:pt idx="0">
                  <c:v>118.5</c:v>
                </c:pt>
                <c:pt idx="1">
                  <c:v>122.2</c:v>
                </c:pt>
                <c:pt idx="2">
                  <c:v>119.9</c:v>
                </c:pt>
                <c:pt idx="3">
                  <c:v>122.6</c:v>
                </c:pt>
                <c:pt idx="4">
                  <c:v>123.9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DF-484A-9DDB-0268880D1CF0}"/>
            </c:ext>
          </c:extLst>
        </c:ser>
        <c:ser>
          <c:idx val="3"/>
          <c:order val="3"/>
          <c:tx>
            <c:strRef>
              <c:f>'Penetraciones UIT'!$B$23</c:f>
              <c:strCache>
                <c:ptCount val="1"/>
                <c:pt idx="0">
                  <c:v>Internet Móvil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UIT'!$C$19:$G$19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UIT'!$C$23:$G$23</c:f>
              <c:numCache>
                <c:formatCode>_-* #,##0.0_-;\-* #,##0.0_-;_-* "-"??_-;_-@_-</c:formatCode>
                <c:ptCount val="5"/>
                <c:pt idx="0">
                  <c:v>86.1</c:v>
                </c:pt>
                <c:pt idx="1">
                  <c:v>89.8</c:v>
                </c:pt>
                <c:pt idx="2">
                  <c:v>89.9</c:v>
                </c:pt>
                <c:pt idx="3">
                  <c:v>96.8</c:v>
                </c:pt>
                <c:pt idx="4">
                  <c:v>104.2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DF-484A-9DDB-0268880D1CF0}"/>
            </c:ext>
          </c:extLst>
        </c:ser>
        <c:ser>
          <c:idx val="4"/>
          <c:order val="4"/>
          <c:tx>
            <c:strRef>
              <c:f>'Penetraciones UIT'!$B$24</c:f>
              <c:strCache>
                <c:ptCount val="1"/>
                <c:pt idx="0">
                  <c:v>Usuarios de Internet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'Penetraciones UIT'!$C$19:$G$19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'Penetraciones UIT'!$C$24:$G$24</c:f>
              <c:numCache>
                <c:formatCode>_-* #,##0.0_-;\-* #,##0.0_-;_-* "-"??_-;_-@_-</c:formatCode>
                <c:ptCount val="5"/>
                <c:pt idx="0">
                  <c:v>62.7</c:v>
                </c:pt>
                <c:pt idx="1">
                  <c:v>67.3</c:v>
                </c:pt>
                <c:pt idx="2">
                  <c:v>72.599999999999994</c:v>
                </c:pt>
                <c:pt idx="3">
                  <c:v>75.5</c:v>
                </c:pt>
                <c:pt idx="4">
                  <c:v>79.099999999999994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DF-484A-9DDB-0268880D1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377352"/>
        <c:axId val="494379872"/>
      </c:lineChart>
      <c:catAx>
        <c:axId val="494377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379872"/>
        <c:crosses val="autoZero"/>
        <c:auto val="1"/>
        <c:lblAlgn val="ctr"/>
        <c:lblOffset val="100"/>
        <c:noMultiLvlLbl val="0"/>
      </c:catAx>
      <c:valAx>
        <c:axId val="4943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377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Tenencia en hogar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'Tenencias UIT'!$C$14</c:f>
              <c:strCache>
                <c:ptCount val="1"/>
                <c:pt idx="0">
                  <c:v>Teléfono fijo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'Tenencias UIT'!$B$15:$B$21</c:f>
              <c:strCache>
                <c:ptCount val="7"/>
                <c:pt idx="0">
                  <c:v>Argentina</c:v>
                </c:pt>
                <c:pt idx="1">
                  <c:v>Brazil</c:v>
                </c:pt>
                <c:pt idx="2">
                  <c:v>Colombia</c:v>
                </c:pt>
                <c:pt idx="3">
                  <c:v>Ecuador</c:v>
                </c:pt>
                <c:pt idx="4">
                  <c:v>Mexico</c:v>
                </c:pt>
                <c:pt idx="5">
                  <c:v>Panama</c:v>
                </c:pt>
                <c:pt idx="6">
                  <c:v>Peru</c:v>
                </c:pt>
              </c:strCache>
            </c:strRef>
          </c:cat>
          <c:val>
            <c:numRef>
              <c:f>'Tenencias UIT'!$C$15:$C$21</c:f>
              <c:numCache>
                <c:formatCode>General</c:formatCode>
                <c:ptCount val="7"/>
                <c:pt idx="1">
                  <c:v>14.3</c:v>
                </c:pt>
                <c:pt idx="2">
                  <c:v>22</c:v>
                </c:pt>
                <c:pt idx="3">
                  <c:v>22</c:v>
                </c:pt>
                <c:pt idx="4">
                  <c:v>39.1</c:v>
                </c:pt>
                <c:pt idx="6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4-4C77-BB21-C0B44454CC06}"/>
            </c:ext>
          </c:extLst>
        </c:ser>
        <c:ser>
          <c:idx val="1"/>
          <c:order val="1"/>
          <c:tx>
            <c:strRef>
              <c:f>'Tenencias UIT'!$D$14</c:f>
              <c:strCache>
                <c:ptCount val="1"/>
                <c:pt idx="0">
                  <c:v>Teléfono móvil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'Tenencias UIT'!$B$15:$B$21</c:f>
              <c:strCache>
                <c:ptCount val="7"/>
                <c:pt idx="0">
                  <c:v>Argentina</c:v>
                </c:pt>
                <c:pt idx="1">
                  <c:v>Brazil</c:v>
                </c:pt>
                <c:pt idx="2">
                  <c:v>Colombia</c:v>
                </c:pt>
                <c:pt idx="3">
                  <c:v>Ecuador</c:v>
                </c:pt>
                <c:pt idx="4">
                  <c:v>Mexico</c:v>
                </c:pt>
                <c:pt idx="5">
                  <c:v>Panama</c:v>
                </c:pt>
                <c:pt idx="6">
                  <c:v>Peru</c:v>
                </c:pt>
              </c:strCache>
            </c:strRef>
          </c:cat>
          <c:val>
            <c:numRef>
              <c:f>'Tenencias UIT'!$D$15:$D$21</c:f>
              <c:numCache>
                <c:formatCode>General</c:formatCode>
                <c:ptCount val="7"/>
                <c:pt idx="1">
                  <c:v>94.5</c:v>
                </c:pt>
                <c:pt idx="2">
                  <c:v>96.3</c:v>
                </c:pt>
                <c:pt idx="3">
                  <c:v>92.5</c:v>
                </c:pt>
                <c:pt idx="4">
                  <c:v>93.5</c:v>
                </c:pt>
                <c:pt idx="6">
                  <c:v>94.1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4-4C77-BB21-C0B44454CC06}"/>
            </c:ext>
          </c:extLst>
        </c:ser>
        <c:ser>
          <c:idx val="2"/>
          <c:order val="2"/>
          <c:tx>
            <c:strRef>
              <c:f>'Tenencias UIT'!$E$14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'Tenencias UIT'!$B$15:$B$21</c:f>
              <c:strCache>
                <c:ptCount val="7"/>
                <c:pt idx="0">
                  <c:v>Argentina</c:v>
                </c:pt>
                <c:pt idx="1">
                  <c:v>Brazil</c:v>
                </c:pt>
                <c:pt idx="2">
                  <c:v>Colombia</c:v>
                </c:pt>
                <c:pt idx="3">
                  <c:v>Ecuador</c:v>
                </c:pt>
                <c:pt idx="4">
                  <c:v>Mexico</c:v>
                </c:pt>
                <c:pt idx="5">
                  <c:v>Panama</c:v>
                </c:pt>
                <c:pt idx="6">
                  <c:v>Peru</c:v>
                </c:pt>
              </c:strCache>
            </c:strRef>
          </c:cat>
          <c:val>
            <c:numRef>
              <c:f>'Tenencias UIT'!$E$15:$E$21</c:f>
              <c:numCache>
                <c:formatCode>General</c:formatCode>
                <c:ptCount val="7"/>
                <c:pt idx="1">
                  <c:v>53.1</c:v>
                </c:pt>
                <c:pt idx="2">
                  <c:v>62.2</c:v>
                </c:pt>
                <c:pt idx="4">
                  <c:v>48.5</c:v>
                </c:pt>
                <c:pt idx="6">
                  <c:v>69.900000000000006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E4-4C77-BB21-C0B44454CC06}"/>
            </c:ext>
          </c:extLst>
        </c:ser>
        <c:ser>
          <c:idx val="3"/>
          <c:order val="3"/>
          <c:tx>
            <c:strRef>
              <c:f>'Tenencias UIT'!$F$14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'Tenencias UIT'!$B$15:$B$21</c:f>
              <c:strCache>
                <c:ptCount val="7"/>
                <c:pt idx="0">
                  <c:v>Argentina</c:v>
                </c:pt>
                <c:pt idx="1">
                  <c:v>Brazil</c:v>
                </c:pt>
                <c:pt idx="2">
                  <c:v>Colombia</c:v>
                </c:pt>
                <c:pt idx="3">
                  <c:v>Ecuador</c:v>
                </c:pt>
                <c:pt idx="4">
                  <c:v>Mexico</c:v>
                </c:pt>
                <c:pt idx="5">
                  <c:v>Panama</c:v>
                </c:pt>
                <c:pt idx="6">
                  <c:v>Peru</c:v>
                </c:pt>
              </c:strCache>
            </c:strRef>
          </c:cat>
          <c:val>
            <c:numRef>
              <c:f>'Tenencias UIT'!$F$15:$F$21</c:f>
              <c:numCache>
                <c:formatCode>General</c:formatCode>
                <c:ptCount val="7"/>
                <c:pt idx="1">
                  <c:v>94.9</c:v>
                </c:pt>
                <c:pt idx="2">
                  <c:v>89.5</c:v>
                </c:pt>
                <c:pt idx="3">
                  <c:v>41.7</c:v>
                </c:pt>
                <c:pt idx="4">
                  <c:v>91.2</c:v>
                </c:pt>
                <c:pt idx="6">
                  <c:v>81.400000000000006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E4-4C77-BB21-C0B44454CC06}"/>
            </c:ext>
          </c:extLst>
        </c:ser>
        <c:ser>
          <c:idx val="4"/>
          <c:order val="4"/>
          <c:tx>
            <c:strRef>
              <c:f>'Tenencias UIT'!$G$14</c:f>
              <c:strCache>
                <c:ptCount val="1"/>
                <c:pt idx="0">
                  <c:v>Computador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'Tenencias UIT'!$B$15:$B$21</c:f>
              <c:strCache>
                <c:ptCount val="7"/>
                <c:pt idx="0">
                  <c:v>Argentina</c:v>
                </c:pt>
                <c:pt idx="1">
                  <c:v>Brazil</c:v>
                </c:pt>
                <c:pt idx="2">
                  <c:v>Colombia</c:v>
                </c:pt>
                <c:pt idx="3">
                  <c:v>Ecuador</c:v>
                </c:pt>
                <c:pt idx="4">
                  <c:v>Mexico</c:v>
                </c:pt>
                <c:pt idx="5">
                  <c:v>Panama</c:v>
                </c:pt>
                <c:pt idx="6">
                  <c:v>Peru</c:v>
                </c:pt>
              </c:strCache>
            </c:strRef>
          </c:cat>
          <c:val>
            <c:numRef>
              <c:f>'Tenencias UIT'!$G$15:$G$21</c:f>
              <c:numCache>
                <c:formatCode>General</c:formatCode>
                <c:ptCount val="7"/>
                <c:pt idx="0">
                  <c:v>62.6</c:v>
                </c:pt>
                <c:pt idx="1">
                  <c:v>39.4</c:v>
                </c:pt>
                <c:pt idx="2">
                  <c:v>34</c:v>
                </c:pt>
                <c:pt idx="3">
                  <c:v>40.4</c:v>
                </c:pt>
                <c:pt idx="4">
                  <c:v>44.8</c:v>
                </c:pt>
                <c:pt idx="5">
                  <c:v>37.299999999999997</c:v>
                </c:pt>
                <c:pt idx="6">
                  <c:v>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E4-4C77-BB21-C0B44454CC06}"/>
            </c:ext>
          </c:extLst>
        </c:ser>
        <c:ser>
          <c:idx val="5"/>
          <c:order val="5"/>
          <c:tx>
            <c:strRef>
              <c:f>'Tenencias UIT'!$H$14</c:f>
              <c:strCache>
                <c:ptCount val="1"/>
                <c:pt idx="0">
                  <c:v>Acceso Internet en hogar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'Tenencias UIT'!$B$15:$B$21</c:f>
              <c:strCache>
                <c:ptCount val="7"/>
                <c:pt idx="0">
                  <c:v>Argentina</c:v>
                </c:pt>
                <c:pt idx="1">
                  <c:v>Brazil</c:v>
                </c:pt>
                <c:pt idx="2">
                  <c:v>Colombia</c:v>
                </c:pt>
                <c:pt idx="3">
                  <c:v>Ecuador</c:v>
                </c:pt>
                <c:pt idx="4">
                  <c:v>Mexico</c:v>
                </c:pt>
                <c:pt idx="5">
                  <c:v>Panama</c:v>
                </c:pt>
                <c:pt idx="6">
                  <c:v>Peru</c:v>
                </c:pt>
              </c:strCache>
            </c:strRef>
          </c:cat>
          <c:val>
            <c:numRef>
              <c:f>'Tenencias UIT'!$H$15:$H$21</c:f>
              <c:numCache>
                <c:formatCode>General</c:formatCode>
                <c:ptCount val="7"/>
                <c:pt idx="0">
                  <c:v>92.1</c:v>
                </c:pt>
                <c:pt idx="1">
                  <c:v>80.2</c:v>
                </c:pt>
                <c:pt idx="2">
                  <c:v>59.5</c:v>
                </c:pt>
                <c:pt idx="3">
                  <c:v>60.4</c:v>
                </c:pt>
                <c:pt idx="4">
                  <c:v>66.400000000000006</c:v>
                </c:pt>
                <c:pt idx="5">
                  <c:v>70.7</c:v>
                </c:pt>
                <c:pt idx="6">
                  <c:v>55.2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E4-4C77-BB21-C0B44454C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624440"/>
        <c:axId val="536630560"/>
      </c:barChart>
      <c:catAx>
        <c:axId val="53662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6630560"/>
        <c:crosses val="autoZero"/>
        <c:auto val="1"/>
        <c:lblAlgn val="ctr"/>
        <c:lblOffset val="100"/>
        <c:noMultiLvlLbl val="0"/>
      </c:catAx>
      <c:valAx>
        <c:axId val="5366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6624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Acceso fijo a Internet - Valor</a:t>
            </a:r>
            <a:r>
              <a:rPr lang="es-CO" baseline="0"/>
              <a:t> GNIpc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'Canastas UIT'!$B$3</c:f>
              <c:strCache>
                <c:ptCount val="1"/>
                <c:pt idx="0">
                  <c:v>Mundo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UIT'!$C$2:$Q$2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'Canastas UIT'!$C$3:$Q$3</c:f>
              <c:numCache>
                <c:formatCode>0.0</c:formatCode>
                <c:ptCount val="15"/>
                <c:pt idx="0">
                  <c:v>5.18</c:v>
                </c:pt>
                <c:pt idx="1">
                  <c:v>5.16</c:v>
                </c:pt>
                <c:pt idx="2">
                  <c:v>3.78</c:v>
                </c:pt>
                <c:pt idx="3">
                  <c:v>3.27</c:v>
                </c:pt>
                <c:pt idx="4">
                  <c:v>3.11</c:v>
                </c:pt>
                <c:pt idx="5">
                  <c:v>3.0131622710813302</c:v>
                </c:pt>
                <c:pt idx="6">
                  <c:v>2.9015612069999999</c:v>
                </c:pt>
                <c:pt idx="7">
                  <c:v>2.3299921490000002</c:v>
                </c:pt>
                <c:pt idx="8">
                  <c:v>2.57</c:v>
                </c:pt>
                <c:pt idx="9">
                  <c:v>2.5050713868974399</c:v>
                </c:pt>
                <c:pt idx="10">
                  <c:v>2.8343380091455899</c:v>
                </c:pt>
                <c:pt idx="11">
                  <c:v>2.8427708634000002</c:v>
                </c:pt>
                <c:pt idx="12">
                  <c:v>2.7661154922411599</c:v>
                </c:pt>
                <c:pt idx="13">
                  <c:v>2.9839996715830601</c:v>
                </c:pt>
                <c:pt idx="14">
                  <c:v>2.6410078085797499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E-4090-8BC3-DB59E7DCCE5E}"/>
            </c:ext>
          </c:extLst>
        </c:ser>
        <c:ser>
          <c:idx val="1"/>
          <c:order val="1"/>
          <c:tx>
            <c:strRef>
              <c:f>'Canastas UIT'!$B$4</c:f>
              <c:strCache>
                <c:ptCount val="1"/>
                <c:pt idx="0">
                  <c:v>Paises ingreso medio alto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UIT'!$C$2:$Q$2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'Canastas UIT'!$C$4:$Q$4</c:f>
              <c:numCache>
                <c:formatCode>0.0</c:formatCode>
                <c:ptCount val="15"/>
                <c:pt idx="0">
                  <c:v>7.42</c:v>
                </c:pt>
                <c:pt idx="1">
                  <c:v>5.9</c:v>
                </c:pt>
                <c:pt idx="2">
                  <c:v>5.04</c:v>
                </c:pt>
                <c:pt idx="3">
                  <c:v>4.66</c:v>
                </c:pt>
                <c:pt idx="4">
                  <c:v>3.97</c:v>
                </c:pt>
                <c:pt idx="5">
                  <c:v>3.6078355713604902</c:v>
                </c:pt>
                <c:pt idx="6">
                  <c:v>3.3494299750000001</c:v>
                </c:pt>
                <c:pt idx="7">
                  <c:v>3.1247683429999999</c:v>
                </c:pt>
                <c:pt idx="8">
                  <c:v>3.2</c:v>
                </c:pt>
                <c:pt idx="9">
                  <c:v>3.2803559641826099</c:v>
                </c:pt>
                <c:pt idx="10">
                  <c:v>3.3492508767271598</c:v>
                </c:pt>
                <c:pt idx="11">
                  <c:v>3.4666703564999999</c:v>
                </c:pt>
                <c:pt idx="12">
                  <c:v>3.1886590028133202</c:v>
                </c:pt>
                <c:pt idx="13">
                  <c:v>3.5170094381050099</c:v>
                </c:pt>
                <c:pt idx="14">
                  <c:v>2.9864895858084699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8E-4090-8BC3-DB59E7DCCE5E}"/>
            </c:ext>
          </c:extLst>
        </c:ser>
        <c:ser>
          <c:idx val="2"/>
          <c:order val="2"/>
          <c:tx>
            <c:strRef>
              <c:f>'Canastas UIT'!$B$5</c:f>
              <c:strCache>
                <c:ptCount val="1"/>
                <c:pt idx="0">
                  <c:v>Región Américas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UIT'!$C$2:$Q$2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'Canastas UIT'!$C$5:$Q$5</c:f>
              <c:numCache>
                <c:formatCode>0.0</c:formatCode>
                <c:ptCount val="15"/>
                <c:pt idx="0">
                  <c:v>9.0299999999999994</c:v>
                </c:pt>
                <c:pt idx="1">
                  <c:v>6.5350000000000001</c:v>
                </c:pt>
                <c:pt idx="2">
                  <c:v>6.59</c:v>
                </c:pt>
                <c:pt idx="3">
                  <c:v>5.26</c:v>
                </c:pt>
                <c:pt idx="4">
                  <c:v>5.2549999999999999</c:v>
                </c:pt>
                <c:pt idx="5">
                  <c:v>4.8307864386946404</c:v>
                </c:pt>
                <c:pt idx="6">
                  <c:v>4.289851165</c:v>
                </c:pt>
                <c:pt idx="7">
                  <c:v>4.1410898475</c:v>
                </c:pt>
                <c:pt idx="8">
                  <c:v>3.71</c:v>
                </c:pt>
                <c:pt idx="9">
                  <c:v>4.5326401265240097</c:v>
                </c:pt>
                <c:pt idx="10">
                  <c:v>4.3403978434653201</c:v>
                </c:pt>
                <c:pt idx="11">
                  <c:v>4.6962034612999997</c:v>
                </c:pt>
                <c:pt idx="12">
                  <c:v>4.7340202297949396</c:v>
                </c:pt>
                <c:pt idx="13">
                  <c:v>5.1329142942825996</c:v>
                </c:pt>
                <c:pt idx="14">
                  <c:v>3.7761851578016401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8E-4090-8BC3-DB59E7DCCE5E}"/>
            </c:ext>
          </c:extLst>
        </c:ser>
        <c:ser>
          <c:idx val="3"/>
          <c:order val="3"/>
          <c:tx>
            <c:strRef>
              <c:f>'Canastas UIT'!$B$6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UIT'!$C$2:$Q$2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'Canastas UIT'!$C$6:$Q$6</c:f>
              <c:numCache>
                <c:formatCode>General</c:formatCode>
                <c:ptCount val="15"/>
                <c:pt idx="0">
                  <c:v>8.77</c:v>
                </c:pt>
                <c:pt idx="1">
                  <c:v>8.26</c:v>
                </c:pt>
                <c:pt idx="2">
                  <c:v>7.72</c:v>
                </c:pt>
                <c:pt idx="3">
                  <c:v>4.66</c:v>
                </c:pt>
                <c:pt idx="4">
                  <c:v>3.28</c:v>
                </c:pt>
                <c:pt idx="5">
                  <c:v>3.06</c:v>
                </c:pt>
                <c:pt idx="6">
                  <c:v>2.78</c:v>
                </c:pt>
                <c:pt idx="7">
                  <c:v>2.0299999999999998</c:v>
                </c:pt>
                <c:pt idx="8">
                  <c:v>3.19</c:v>
                </c:pt>
                <c:pt idx="9">
                  <c:v>4.04</c:v>
                </c:pt>
                <c:pt idx="10">
                  <c:v>3.93</c:v>
                </c:pt>
                <c:pt idx="11">
                  <c:v>4.1900000000000004</c:v>
                </c:pt>
                <c:pt idx="12">
                  <c:v>4.16</c:v>
                </c:pt>
                <c:pt idx="13">
                  <c:v>4.41</c:v>
                </c:pt>
                <c:pt idx="14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8E-4090-8BC3-DB59E7DC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021424"/>
        <c:axId val="495019624"/>
      </c:lineChart>
      <c:catAx>
        <c:axId val="49502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5019624"/>
        <c:crosses val="autoZero"/>
        <c:auto val="1"/>
        <c:lblAlgn val="ctr"/>
        <c:lblOffset val="100"/>
        <c:noMultiLvlLbl val="0"/>
      </c:catAx>
      <c:valAx>
        <c:axId val="49501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502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Acceso móvil a Internet - Valor GNIpc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'Canastas UIT'!$B$27</c:f>
              <c:strCache>
                <c:ptCount val="1"/>
                <c:pt idx="0">
                  <c:v>Mundo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UIT'!$C$26:$L$26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'Canastas UIT'!$C$27:$L$27</c:f>
              <c:numCache>
                <c:formatCode>0.0</c:formatCode>
                <c:ptCount val="10"/>
                <c:pt idx="0">
                  <c:v>2.17</c:v>
                </c:pt>
                <c:pt idx="1">
                  <c:v>1.81</c:v>
                </c:pt>
                <c:pt idx="2">
                  <c:v>1.36</c:v>
                </c:pt>
                <c:pt idx="3">
                  <c:v>1.502868243</c:v>
                </c:pt>
                <c:pt idx="4">
                  <c:v>1.39515852725167</c:v>
                </c:pt>
                <c:pt idx="5">
                  <c:v>1.4368832192352901</c:v>
                </c:pt>
                <c:pt idx="6">
                  <c:v>1.3680501909</c:v>
                </c:pt>
                <c:pt idx="7">
                  <c:v>1.2308417356566199</c:v>
                </c:pt>
                <c:pt idx="8">
                  <c:v>1.2520185599523801</c:v>
                </c:pt>
                <c:pt idx="9">
                  <c:v>0.95974571115537299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D4-4C7B-9CBB-6394F914C5CE}"/>
            </c:ext>
          </c:extLst>
        </c:ser>
        <c:ser>
          <c:idx val="1"/>
          <c:order val="1"/>
          <c:tx>
            <c:strRef>
              <c:f>'Canastas UIT'!$B$28</c:f>
              <c:strCache>
                <c:ptCount val="1"/>
                <c:pt idx="0">
                  <c:v>Paises ingreso medio alto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UIT'!$C$26:$L$26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'Canastas UIT'!$C$28:$L$28</c:f>
              <c:numCache>
                <c:formatCode>0.0</c:formatCode>
                <c:ptCount val="10"/>
                <c:pt idx="0">
                  <c:v>2.86</c:v>
                </c:pt>
                <c:pt idx="1">
                  <c:v>2.29</c:v>
                </c:pt>
                <c:pt idx="2">
                  <c:v>1.64</c:v>
                </c:pt>
                <c:pt idx="3">
                  <c:v>1.797064794</c:v>
                </c:pt>
                <c:pt idx="4">
                  <c:v>1.71948621546961</c:v>
                </c:pt>
                <c:pt idx="5">
                  <c:v>1.6015001398766999</c:v>
                </c:pt>
                <c:pt idx="6">
                  <c:v>1.6774211402999999</c:v>
                </c:pt>
                <c:pt idx="7">
                  <c:v>1.30162464958459</c:v>
                </c:pt>
                <c:pt idx="8">
                  <c:v>1.6930961483096001</c:v>
                </c:pt>
                <c:pt idx="9">
                  <c:v>1.22324295404891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D4-4C7B-9CBB-6394F914C5CE}"/>
            </c:ext>
          </c:extLst>
        </c:ser>
        <c:ser>
          <c:idx val="2"/>
          <c:order val="2"/>
          <c:tx>
            <c:strRef>
              <c:f>'Canastas UIT'!$B$29</c:f>
              <c:strCache>
                <c:ptCount val="1"/>
                <c:pt idx="0">
                  <c:v>Región Américas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UIT'!$C$26:$L$26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'Canastas UIT'!$C$29:$L$29</c:f>
              <c:numCache>
                <c:formatCode>0.0</c:formatCode>
                <c:ptCount val="10"/>
                <c:pt idx="0">
                  <c:v>3.4299999999999899</c:v>
                </c:pt>
                <c:pt idx="1">
                  <c:v>2.4900000000000002</c:v>
                </c:pt>
                <c:pt idx="2">
                  <c:v>2.61</c:v>
                </c:pt>
                <c:pt idx="3">
                  <c:v>2.2955453669999999</c:v>
                </c:pt>
                <c:pt idx="4">
                  <c:v>2.6461962559841399</c:v>
                </c:pt>
                <c:pt idx="5">
                  <c:v>2.4126125878993498</c:v>
                </c:pt>
                <c:pt idx="6">
                  <c:v>2.38632823905</c:v>
                </c:pt>
                <c:pt idx="7">
                  <c:v>2.33311360340605</c:v>
                </c:pt>
                <c:pt idx="8">
                  <c:v>2.4298042025932798</c:v>
                </c:pt>
                <c:pt idx="9">
                  <c:v>1.9488431044955099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D4-4C7B-9CBB-6394F914C5CE}"/>
            </c:ext>
          </c:extLst>
        </c:ser>
        <c:ser>
          <c:idx val="3"/>
          <c:order val="3"/>
          <c:tx>
            <c:strRef>
              <c:f>'Canastas UIT'!$B$30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UIT'!$C$26:$L$26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'Canastas UIT'!$C$30:$L$30</c:f>
              <c:numCache>
                <c:formatCode>General</c:formatCode>
                <c:ptCount val="10"/>
                <c:pt idx="0">
                  <c:v>2.4700000000000002</c:v>
                </c:pt>
                <c:pt idx="1">
                  <c:v>2.1</c:v>
                </c:pt>
                <c:pt idx="2">
                  <c:v>1.64</c:v>
                </c:pt>
                <c:pt idx="3">
                  <c:v>2</c:v>
                </c:pt>
                <c:pt idx="4">
                  <c:v>2.52</c:v>
                </c:pt>
                <c:pt idx="5">
                  <c:v>2.74</c:v>
                </c:pt>
                <c:pt idx="6">
                  <c:v>2.74</c:v>
                </c:pt>
                <c:pt idx="7">
                  <c:v>2.35</c:v>
                </c:pt>
                <c:pt idx="8">
                  <c:v>1.86</c:v>
                </c:pt>
                <c:pt idx="9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D4-4C7B-9CBB-6394F914C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924520"/>
        <c:axId val="494926320"/>
      </c:lineChart>
      <c:catAx>
        <c:axId val="49492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926320"/>
        <c:crosses val="autoZero"/>
        <c:auto val="1"/>
        <c:lblAlgn val="ctr"/>
        <c:lblOffset val="100"/>
        <c:noMultiLvlLbl val="0"/>
      </c:catAx>
      <c:valAx>
        <c:axId val="49492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92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Telefonía móvil uso bajo - Valor GNIpc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'Canastas UIT'!$B$49</c:f>
              <c:strCache>
                <c:ptCount val="1"/>
                <c:pt idx="0">
                  <c:v>Mundo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UIT'!$C$48:$Q$48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'Canastas UIT'!$C$49:$Q$49</c:f>
              <c:numCache>
                <c:formatCode>_-* #,##0.0_-;\-* #,##0.0_-;_-* "-"_-;_-@_-</c:formatCode>
                <c:ptCount val="15"/>
                <c:pt idx="0">
                  <c:v>3.58</c:v>
                </c:pt>
                <c:pt idx="1">
                  <c:v>3</c:v>
                </c:pt>
                <c:pt idx="2">
                  <c:v>2.88</c:v>
                </c:pt>
                <c:pt idx="3">
                  <c:v>2.75</c:v>
                </c:pt>
                <c:pt idx="4">
                  <c:v>2.35</c:v>
                </c:pt>
                <c:pt idx="5">
                  <c:v>1.9045218680504099</c:v>
                </c:pt>
                <c:pt idx="6">
                  <c:v>1.8</c:v>
                </c:pt>
                <c:pt idx="7">
                  <c:v>1.4</c:v>
                </c:pt>
                <c:pt idx="8">
                  <c:v>1.4</c:v>
                </c:pt>
                <c:pt idx="9">
                  <c:v>1.38836276177063</c:v>
                </c:pt>
                <c:pt idx="10">
                  <c:v>1.0474408974278799</c:v>
                </c:pt>
                <c:pt idx="11">
                  <c:v>1.0858790788881401</c:v>
                </c:pt>
                <c:pt idx="12">
                  <c:v>1.08123254930769</c:v>
                </c:pt>
                <c:pt idx="13">
                  <c:v>1.0624028198136499</c:v>
                </c:pt>
                <c:pt idx="14">
                  <c:v>0.90716273416722704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8-46F8-B9D6-EC98A3D9734B}"/>
            </c:ext>
          </c:extLst>
        </c:ser>
        <c:ser>
          <c:idx val="1"/>
          <c:order val="1"/>
          <c:tx>
            <c:strRef>
              <c:f>'Canastas UIT'!$B$50</c:f>
              <c:strCache>
                <c:ptCount val="1"/>
                <c:pt idx="0">
                  <c:v>Paises ingreso medio alto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UIT'!$C$48:$Q$48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'Canastas UIT'!$C$50:$Q$50</c:f>
              <c:numCache>
                <c:formatCode>_-* #,##0.0_-;\-* #,##0.0_-;_-* "-"_-;_-@_-</c:formatCode>
                <c:ptCount val="15"/>
                <c:pt idx="0">
                  <c:v>3.93</c:v>
                </c:pt>
                <c:pt idx="1">
                  <c:v>3.85</c:v>
                </c:pt>
                <c:pt idx="2">
                  <c:v>3.35</c:v>
                </c:pt>
                <c:pt idx="3">
                  <c:v>3.31</c:v>
                </c:pt>
                <c:pt idx="4">
                  <c:v>2.82</c:v>
                </c:pt>
                <c:pt idx="5">
                  <c:v>2.7242393434065999</c:v>
                </c:pt>
                <c:pt idx="6">
                  <c:v>2.2999999999999998</c:v>
                </c:pt>
                <c:pt idx="7">
                  <c:v>2</c:v>
                </c:pt>
                <c:pt idx="8">
                  <c:v>1.7</c:v>
                </c:pt>
                <c:pt idx="9">
                  <c:v>1.8403801346062301</c:v>
                </c:pt>
                <c:pt idx="10">
                  <c:v>1.53177783827257</c:v>
                </c:pt>
                <c:pt idx="11">
                  <c:v>1.7962649723950901</c:v>
                </c:pt>
                <c:pt idx="12">
                  <c:v>1.4336300659601999</c:v>
                </c:pt>
                <c:pt idx="13">
                  <c:v>1.1702698199378401</c:v>
                </c:pt>
                <c:pt idx="14">
                  <c:v>0.96580927842242503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8-46F8-B9D6-EC98A3D9734B}"/>
            </c:ext>
          </c:extLst>
        </c:ser>
        <c:ser>
          <c:idx val="2"/>
          <c:order val="2"/>
          <c:tx>
            <c:strRef>
              <c:f>'Canastas UIT'!$B$51</c:f>
              <c:strCache>
                <c:ptCount val="1"/>
                <c:pt idx="0">
                  <c:v>Región Américas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UIT'!$C$48:$Q$48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'Canastas UIT'!$C$51:$Q$51</c:f>
              <c:numCache>
                <c:formatCode>_-* #,##0.0_-;\-* #,##0.0_-;_-* "-"_-;_-@_-</c:formatCode>
                <c:ptCount val="15"/>
                <c:pt idx="0">
                  <c:v>3.84</c:v>
                </c:pt>
                <c:pt idx="1">
                  <c:v>3.78</c:v>
                </c:pt>
                <c:pt idx="2">
                  <c:v>3.35</c:v>
                </c:pt>
                <c:pt idx="3">
                  <c:v>3.31</c:v>
                </c:pt>
                <c:pt idx="4">
                  <c:v>2.82</c:v>
                </c:pt>
                <c:pt idx="5">
                  <c:v>2.9940718662030101</c:v>
                </c:pt>
                <c:pt idx="6">
                  <c:v>2.9</c:v>
                </c:pt>
                <c:pt idx="7">
                  <c:v>2.1</c:v>
                </c:pt>
                <c:pt idx="8">
                  <c:v>2.2999999999999998</c:v>
                </c:pt>
                <c:pt idx="9">
                  <c:v>2.6134690709736899</c:v>
                </c:pt>
                <c:pt idx="10">
                  <c:v>2.09527559055118</c:v>
                </c:pt>
                <c:pt idx="11">
                  <c:v>2.09527559055118</c:v>
                </c:pt>
                <c:pt idx="12">
                  <c:v>1.96212884546847</c:v>
                </c:pt>
                <c:pt idx="13">
                  <c:v>2.7862891179481002</c:v>
                </c:pt>
                <c:pt idx="14">
                  <c:v>1.681496330031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8-46F8-B9D6-EC98A3D9734B}"/>
            </c:ext>
          </c:extLst>
        </c:ser>
        <c:ser>
          <c:idx val="3"/>
          <c:order val="3"/>
          <c:tx>
            <c:strRef>
              <c:f>'Canastas UIT'!$B$52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UIT'!$C$48:$Q$48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'Canastas UIT'!$C$52:$Q$52</c:f>
              <c:numCache>
                <c:formatCode>_-* #,##0.0_-;\-* #,##0.0_-;_-* "-"_-;_-@_-</c:formatCode>
                <c:ptCount val="15"/>
                <c:pt idx="0">
                  <c:v>5.62</c:v>
                </c:pt>
                <c:pt idx="1">
                  <c:v>4.88</c:v>
                </c:pt>
                <c:pt idx="2">
                  <c:v>4.8600000000000003</c:v>
                </c:pt>
                <c:pt idx="3">
                  <c:v>4.3600000000000003</c:v>
                </c:pt>
                <c:pt idx="4">
                  <c:v>3.98</c:v>
                </c:pt>
                <c:pt idx="5">
                  <c:v>3.26</c:v>
                </c:pt>
                <c:pt idx="6">
                  <c:v>3</c:v>
                </c:pt>
                <c:pt idx="7">
                  <c:v>2</c:v>
                </c:pt>
                <c:pt idx="8">
                  <c:v>2.1</c:v>
                </c:pt>
                <c:pt idx="9">
                  <c:v>2.72</c:v>
                </c:pt>
                <c:pt idx="10">
                  <c:v>1.47</c:v>
                </c:pt>
                <c:pt idx="11">
                  <c:v>1.38</c:v>
                </c:pt>
                <c:pt idx="12">
                  <c:v>1.24</c:v>
                </c:pt>
                <c:pt idx="13">
                  <c:v>1.1200000000000001</c:v>
                </c:pt>
                <c:pt idx="14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B8-46F8-B9D6-EC98A3D97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391032"/>
        <c:axId val="494391392"/>
      </c:lineChart>
      <c:catAx>
        <c:axId val="49439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391392"/>
        <c:crosses val="autoZero"/>
        <c:auto val="1"/>
        <c:lblAlgn val="ctr"/>
        <c:lblOffset val="100"/>
        <c:noMultiLvlLbl val="0"/>
      </c:catAx>
      <c:valAx>
        <c:axId val="49439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39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Voz/datos móvil uso bajo - Valor GNIpc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'Canastas UIT'!$B$72</c:f>
              <c:strCache>
                <c:ptCount val="1"/>
                <c:pt idx="0">
                  <c:v>Mundo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UIT'!$C$71:$G$71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'Canastas UIT'!$C$72:$G$72</c:f>
              <c:numCache>
                <c:formatCode>0.0</c:formatCode>
                <c:ptCount val="5"/>
                <c:pt idx="0">
                  <c:v>2.2834091717969098</c:v>
                </c:pt>
                <c:pt idx="1">
                  <c:v>2.0586763869000002</c:v>
                </c:pt>
                <c:pt idx="2">
                  <c:v>1.87638593892549</c:v>
                </c:pt>
                <c:pt idx="3">
                  <c:v>2.0216597590255301</c:v>
                </c:pt>
                <c:pt idx="4">
                  <c:v>1.4901092485791101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37-451C-8A3F-97E229381DBC}"/>
            </c:ext>
          </c:extLst>
        </c:ser>
        <c:ser>
          <c:idx val="1"/>
          <c:order val="1"/>
          <c:tx>
            <c:strRef>
              <c:f>'Canastas UIT'!$B$73</c:f>
              <c:strCache>
                <c:ptCount val="1"/>
                <c:pt idx="0">
                  <c:v>Paises ingreso medio alto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UIT'!$C$71:$G$71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'Canastas UIT'!$C$73:$G$73</c:f>
              <c:numCache>
                <c:formatCode>0.0</c:formatCode>
                <c:ptCount val="5"/>
                <c:pt idx="0">
                  <c:v>2.4273676740859398</c:v>
                </c:pt>
                <c:pt idx="1">
                  <c:v>2.2519660339999898</c:v>
                </c:pt>
                <c:pt idx="2">
                  <c:v>1.8755685910183899</c:v>
                </c:pt>
                <c:pt idx="3">
                  <c:v>2.0216597590255301</c:v>
                </c:pt>
                <c:pt idx="4">
                  <c:v>1.4627870803599501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37-451C-8A3F-97E229381DBC}"/>
            </c:ext>
          </c:extLst>
        </c:ser>
        <c:ser>
          <c:idx val="2"/>
          <c:order val="2"/>
          <c:tx>
            <c:strRef>
              <c:f>'Canastas UIT'!$B$74</c:f>
              <c:strCache>
                <c:ptCount val="1"/>
                <c:pt idx="0">
                  <c:v>Región Américas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UIT'!$C$71:$G$71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'Canastas UIT'!$C$74:$G$74</c:f>
              <c:numCache>
                <c:formatCode>0.0</c:formatCode>
                <c:ptCount val="5"/>
                <c:pt idx="0">
                  <c:v>2.7697987080678099</c:v>
                </c:pt>
                <c:pt idx="1">
                  <c:v>2.8429992616000002</c:v>
                </c:pt>
                <c:pt idx="2">
                  <c:v>2.86628198659858</c:v>
                </c:pt>
                <c:pt idx="3">
                  <c:v>3.31430452339879</c:v>
                </c:pt>
                <c:pt idx="4">
                  <c:v>2.5815045397039902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37-451C-8A3F-97E229381DBC}"/>
            </c:ext>
          </c:extLst>
        </c:ser>
        <c:ser>
          <c:idx val="3"/>
          <c:order val="3"/>
          <c:tx>
            <c:strRef>
              <c:f>'Canastas UIT'!$B$75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UIT'!$C$71:$G$71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'Canastas UIT'!$C$75:$G$75</c:f>
              <c:numCache>
                <c:formatCode>General</c:formatCode>
                <c:ptCount val="5"/>
                <c:pt idx="0">
                  <c:v>2.0299999999999998</c:v>
                </c:pt>
                <c:pt idx="1">
                  <c:v>2.0299999999999998</c:v>
                </c:pt>
                <c:pt idx="2">
                  <c:v>1.76</c:v>
                </c:pt>
                <c:pt idx="3">
                  <c:v>1.86</c:v>
                </c:pt>
                <c:pt idx="4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37-451C-8A3F-97E229381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910840"/>
        <c:axId val="494911200"/>
      </c:lineChart>
      <c:catAx>
        <c:axId val="494910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911200"/>
        <c:crosses val="autoZero"/>
        <c:auto val="1"/>
        <c:lblAlgn val="ctr"/>
        <c:lblOffset val="100"/>
        <c:noMultiLvlLbl val="0"/>
      </c:catAx>
      <c:valAx>
        <c:axId val="4949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91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Voz/datos móvil uso alto - Valor GNIpc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'Canastas UIT'!$B$93</c:f>
              <c:strCache>
                <c:ptCount val="1"/>
                <c:pt idx="0">
                  <c:v>Mundo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UIT'!$C$92:$G$92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'Canastas UIT'!$C$93:$G$93</c:f>
              <c:numCache>
                <c:formatCode>0.0</c:formatCode>
                <c:ptCount val="5"/>
                <c:pt idx="0">
                  <c:v>3.1176470588235299</c:v>
                </c:pt>
                <c:pt idx="1">
                  <c:v>2.8678001960671802</c:v>
                </c:pt>
                <c:pt idx="2">
                  <c:v>2.5374844226411302</c:v>
                </c:pt>
                <c:pt idx="3">
                  <c:v>2.9260266181555799</c:v>
                </c:pt>
                <c:pt idx="4">
                  <c:v>2.3198710331219399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D-45A2-B14F-1417BAE56ECB}"/>
            </c:ext>
          </c:extLst>
        </c:ser>
        <c:ser>
          <c:idx val="1"/>
          <c:order val="1"/>
          <c:tx>
            <c:strRef>
              <c:f>'Canastas UIT'!$B$94</c:f>
              <c:strCache>
                <c:ptCount val="1"/>
                <c:pt idx="0">
                  <c:v>Paises ingreso medio alto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UIT'!$C$92:$G$92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'Canastas UIT'!$C$94:$G$94</c:f>
              <c:numCache>
                <c:formatCode>0.0</c:formatCode>
                <c:ptCount val="5"/>
                <c:pt idx="0">
                  <c:v>3.2198589181614099</c:v>
                </c:pt>
                <c:pt idx="1">
                  <c:v>3.2965726587617401</c:v>
                </c:pt>
                <c:pt idx="2">
                  <c:v>2.6408334713503301</c:v>
                </c:pt>
                <c:pt idx="3">
                  <c:v>2.9639477587395699</c:v>
                </c:pt>
                <c:pt idx="4">
                  <c:v>2.2426905592543198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5D-45A2-B14F-1417BAE56ECB}"/>
            </c:ext>
          </c:extLst>
        </c:ser>
        <c:ser>
          <c:idx val="2"/>
          <c:order val="2"/>
          <c:tx>
            <c:strRef>
              <c:f>'Canastas UIT'!$B$95</c:f>
              <c:strCache>
                <c:ptCount val="1"/>
                <c:pt idx="0">
                  <c:v>Región Américas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UIT'!$C$92:$G$92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'Canastas UIT'!$C$95:$G$95</c:f>
              <c:numCache>
                <c:formatCode>0.0</c:formatCode>
                <c:ptCount val="5"/>
                <c:pt idx="0">
                  <c:v>3.6985668053629199</c:v>
                </c:pt>
                <c:pt idx="1">
                  <c:v>3.2225206171214702</c:v>
                </c:pt>
                <c:pt idx="2">
                  <c:v>3.1361842105263098</c:v>
                </c:pt>
                <c:pt idx="3">
                  <c:v>3.9147642710689801</c:v>
                </c:pt>
                <c:pt idx="4">
                  <c:v>3.0165758486181602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5D-45A2-B14F-1417BAE56ECB}"/>
            </c:ext>
          </c:extLst>
        </c:ser>
        <c:ser>
          <c:idx val="3"/>
          <c:order val="3"/>
          <c:tx>
            <c:strRef>
              <c:f>'Canastas UIT'!$B$96</c:f>
              <c:strCache>
                <c:ptCount val="1"/>
                <c:pt idx="0">
                  <c:v>Colombia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'Canastas UIT'!$C$92:$G$92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'Canastas UIT'!$C$96:$G$96</c:f>
              <c:numCache>
                <c:formatCode>General</c:formatCode>
                <c:ptCount val="5"/>
                <c:pt idx="0">
                  <c:v>2.62</c:v>
                </c:pt>
                <c:pt idx="1">
                  <c:v>2.62</c:v>
                </c:pt>
                <c:pt idx="2">
                  <c:v>2.35</c:v>
                </c:pt>
                <c:pt idx="3">
                  <c:v>1.86</c:v>
                </c:pt>
                <c:pt idx="4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5D-45A2-B14F-1417BAE56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337032"/>
        <c:axId val="494334152"/>
      </c:lineChart>
      <c:catAx>
        <c:axId val="49433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334152"/>
        <c:crosses val="autoZero"/>
        <c:auto val="1"/>
        <c:lblAlgn val="ctr"/>
        <c:lblOffset val="100"/>
        <c:noMultiLvlLbl val="0"/>
      </c:catAx>
      <c:valAx>
        <c:axId val="49433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433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Relación Índices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'IDI DNP-IBD MINTIC'!$D$1</c:f>
              <c:strCache>
                <c:ptCount val="1"/>
                <c:pt idx="0">
                  <c:v>IBD 2020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6.7371609798775156E-2"/>
                  <c:y val="5.060258092738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'IDI DNP-IBD MINTIC'!$C$2:$C$34</c:f>
              <c:numCache>
                <c:formatCode>General</c:formatCode>
                <c:ptCount val="33"/>
                <c:pt idx="0">
                  <c:v>6.99</c:v>
                </c:pt>
                <c:pt idx="1">
                  <c:v>6.19</c:v>
                </c:pt>
                <c:pt idx="2">
                  <c:v>5.97</c:v>
                </c:pt>
                <c:pt idx="3">
                  <c:v>5.82</c:v>
                </c:pt>
                <c:pt idx="4">
                  <c:v>5.71</c:v>
                </c:pt>
                <c:pt idx="5">
                  <c:v>5.36</c:v>
                </c:pt>
                <c:pt idx="6">
                  <c:v>5.32</c:v>
                </c:pt>
                <c:pt idx="7">
                  <c:v>5.2</c:v>
                </c:pt>
                <c:pt idx="8">
                  <c:v>5.14</c:v>
                </c:pt>
                <c:pt idx="9">
                  <c:v>5.0599999999999996</c:v>
                </c:pt>
                <c:pt idx="10">
                  <c:v>4.78</c:v>
                </c:pt>
                <c:pt idx="11">
                  <c:v>4.5999999999999996</c:v>
                </c:pt>
                <c:pt idx="12">
                  <c:v>4.3600000000000003</c:v>
                </c:pt>
                <c:pt idx="13">
                  <c:v>4.2699999999999996</c:v>
                </c:pt>
                <c:pt idx="14">
                  <c:v>4.2</c:v>
                </c:pt>
                <c:pt idx="15">
                  <c:v>4.1100000000000003</c:v>
                </c:pt>
                <c:pt idx="16">
                  <c:v>3.98</c:v>
                </c:pt>
                <c:pt idx="17">
                  <c:v>3.93</c:v>
                </c:pt>
                <c:pt idx="18">
                  <c:v>3.87</c:v>
                </c:pt>
                <c:pt idx="19">
                  <c:v>3.78</c:v>
                </c:pt>
                <c:pt idx="20">
                  <c:v>3.7</c:v>
                </c:pt>
                <c:pt idx="21">
                  <c:v>3.67</c:v>
                </c:pt>
                <c:pt idx="22">
                  <c:v>3.61</c:v>
                </c:pt>
                <c:pt idx="23">
                  <c:v>3.45</c:v>
                </c:pt>
                <c:pt idx="24">
                  <c:v>3.4</c:v>
                </c:pt>
                <c:pt idx="25">
                  <c:v>3.24</c:v>
                </c:pt>
                <c:pt idx="26">
                  <c:v>3.01</c:v>
                </c:pt>
                <c:pt idx="27">
                  <c:v>2.94</c:v>
                </c:pt>
                <c:pt idx="28">
                  <c:v>2.61</c:v>
                </c:pt>
                <c:pt idx="29">
                  <c:v>2.1</c:v>
                </c:pt>
                <c:pt idx="30">
                  <c:v>2.1</c:v>
                </c:pt>
                <c:pt idx="31">
                  <c:v>1.47</c:v>
                </c:pt>
                <c:pt idx="32">
                  <c:v>1.4</c:v>
                </c:pt>
              </c:numCache>
            </c:numRef>
          </c:xVal>
          <c:yVal>
            <c:numRef>
              <c:f>'IDI DNP-IBD MINTIC'!$D$2:$D$34</c:f>
              <c:numCache>
                <c:formatCode>General</c:formatCode>
                <c:ptCount val="33"/>
                <c:pt idx="0">
                  <c:v>0.27050000000000002</c:v>
                </c:pt>
                <c:pt idx="1">
                  <c:v>0.37309999999999999</c:v>
                </c:pt>
                <c:pt idx="2">
                  <c:v>0.37840000000000001</c:v>
                </c:pt>
                <c:pt idx="3">
                  <c:v>0.41160000000000002</c:v>
                </c:pt>
                <c:pt idx="4">
                  <c:v>0.40620000000000001</c:v>
                </c:pt>
                <c:pt idx="5">
                  <c:v>0.40329999999999999</c:v>
                </c:pt>
                <c:pt idx="6">
                  <c:v>0.4178</c:v>
                </c:pt>
                <c:pt idx="7">
                  <c:v>0.4163</c:v>
                </c:pt>
                <c:pt idx="8">
                  <c:v>0.43780000000000002</c:v>
                </c:pt>
                <c:pt idx="9">
                  <c:v>0.39600000000000002</c:v>
                </c:pt>
                <c:pt idx="10">
                  <c:v>0.41089999999999999</c:v>
                </c:pt>
                <c:pt idx="11">
                  <c:v>0.4461</c:v>
                </c:pt>
                <c:pt idx="12">
                  <c:v>0.435</c:v>
                </c:pt>
                <c:pt idx="13">
                  <c:v>0.44490000000000002</c:v>
                </c:pt>
                <c:pt idx="14">
                  <c:v>0.47660000000000002</c:v>
                </c:pt>
                <c:pt idx="15">
                  <c:v>0.50819999999999999</c:v>
                </c:pt>
                <c:pt idx="16">
                  <c:v>0.48920000000000002</c:v>
                </c:pt>
                <c:pt idx="17">
                  <c:v>0.47620000000000001</c:v>
                </c:pt>
                <c:pt idx="18">
                  <c:v>0.50060000000000004</c:v>
                </c:pt>
                <c:pt idx="19">
                  <c:v>0.50790000000000002</c:v>
                </c:pt>
                <c:pt idx="20">
                  <c:v>0.48020000000000002</c:v>
                </c:pt>
                <c:pt idx="21">
                  <c:v>0.54049999999999998</c:v>
                </c:pt>
                <c:pt idx="22">
                  <c:v>0.53139999999999998</c:v>
                </c:pt>
                <c:pt idx="23">
                  <c:v>0.5423</c:v>
                </c:pt>
                <c:pt idx="24">
                  <c:v>0.53800000000000003</c:v>
                </c:pt>
                <c:pt idx="25">
                  <c:v>0.55389999999999995</c:v>
                </c:pt>
                <c:pt idx="26">
                  <c:v>0.57789999999999997</c:v>
                </c:pt>
                <c:pt idx="27">
                  <c:v>0.57299999999999995</c:v>
                </c:pt>
                <c:pt idx="28">
                  <c:v>0.60060000000000002</c:v>
                </c:pt>
                <c:pt idx="29">
                  <c:v>0.71850000000000003</c:v>
                </c:pt>
                <c:pt idx="30">
                  <c:v>0.67179999999999995</c:v>
                </c:pt>
                <c:pt idx="31">
                  <c:v>0.72970000000000002</c:v>
                </c:pt>
                <c:pt idx="32">
                  <c:v>0.70130000000000003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1-474D-A30B-5B48FD7D3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302128"/>
        <c:axId val="628303568"/>
      </c:scatterChart>
      <c:valAx>
        <c:axId val="62830212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IDI 2019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8303568"/>
        <c:crosses val="autoZero"/>
        <c:crossBetween val="midCat"/>
      </c:valAx>
      <c:valAx>
        <c:axId val="62830356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IBD</a:t>
                </a:r>
                <a:r>
                  <a:rPr lang="es-CO" baseline="0"/>
                  <a:t> 2020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830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'Cisco 2023'!$B$5:$B$11</c:f>
              <c:strCache>
                <c:ptCount val="7"/>
                <c:pt idx="0">
                  <c:v>0 - 0,2 GB</c:v>
                </c:pt>
                <c:pt idx="1">
                  <c:v>0,2 - 2GB</c:v>
                </c:pt>
                <c:pt idx="2">
                  <c:v>2 - 5 GB</c:v>
                </c:pt>
                <c:pt idx="3">
                  <c:v>5 - 10 GB</c:v>
                </c:pt>
                <c:pt idx="4">
                  <c:v>10 - 20 GB</c:v>
                </c:pt>
                <c:pt idx="5">
                  <c:v>20 - 50 GB</c:v>
                </c:pt>
                <c:pt idx="6">
                  <c:v>&gt; 50 GB</c:v>
                </c:pt>
              </c:strCache>
            </c:strRef>
          </c:cat>
          <c:val>
            <c:numRef>
              <c:f>'Cisco 2023'!$C$5:$C$11</c:f>
              <c:numCache>
                <c:formatCode>0%</c:formatCode>
                <c:ptCount val="7"/>
                <c:pt idx="0">
                  <c:v>1.0000000000000009E-2</c:v>
                </c:pt>
                <c:pt idx="1">
                  <c:v>0.17000000000000004</c:v>
                </c:pt>
                <c:pt idx="2">
                  <c:v>0.22999999999999998</c:v>
                </c:pt>
                <c:pt idx="3">
                  <c:v>0.22999999999999998</c:v>
                </c:pt>
                <c:pt idx="4">
                  <c:v>0.18</c:v>
                </c:pt>
                <c:pt idx="5">
                  <c:v>0.13999999999999999</c:v>
                </c:pt>
                <c:pt idx="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C-4A0D-B266-4EC90F7A5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970776"/>
        <c:axId val="535968976"/>
      </c:barChart>
      <c:catAx>
        <c:axId val="53597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5968976"/>
        <c:crosses val="autoZero"/>
        <c:auto val="1"/>
        <c:lblAlgn val="ctr"/>
        <c:lblOffset val="100"/>
        <c:noMultiLvlLbl val="0"/>
      </c:catAx>
      <c:valAx>
        <c:axId val="53596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5970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Habilidades digitales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'BM habilidades'!$B$3</c:f>
              <c:strCache>
                <c:ptCount val="1"/>
                <c:pt idx="0">
                  <c:v>Básica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'BM habilidades'!$C$2:$K$2</c:f>
              <c:strCache>
                <c:ptCount val="9"/>
                <c:pt idx="0">
                  <c:v>OECD</c:v>
                </c:pt>
                <c:pt idx="1">
                  <c:v>Promedio ALC</c:v>
                </c:pt>
                <c:pt idx="2">
                  <c:v>Perú</c:v>
                </c:pt>
                <c:pt idx="3">
                  <c:v>México</c:v>
                </c:pt>
                <c:pt idx="4">
                  <c:v>Ecuador</c:v>
                </c:pt>
                <c:pt idx="5">
                  <c:v>Cuba</c:v>
                </c:pt>
                <c:pt idx="6">
                  <c:v>Colombia </c:v>
                </c:pt>
                <c:pt idx="7">
                  <c:v>Chile</c:v>
                </c:pt>
                <c:pt idx="8">
                  <c:v>Brasil</c:v>
                </c:pt>
              </c:strCache>
            </c:strRef>
          </c:cat>
          <c:val>
            <c:numRef>
              <c:f>'BM habilidades'!$C$3:$K$3</c:f>
              <c:numCache>
                <c:formatCode>0.0%</c:formatCode>
                <c:ptCount val="9"/>
                <c:pt idx="0">
                  <c:v>0.64300000000000002</c:v>
                </c:pt>
                <c:pt idx="1">
                  <c:v>0.28100000000000003</c:v>
                </c:pt>
                <c:pt idx="2">
                  <c:v>0.28499999999999998</c:v>
                </c:pt>
                <c:pt idx="3">
                  <c:v>0.311</c:v>
                </c:pt>
                <c:pt idx="4">
                  <c:v>0.23499999999999999</c:v>
                </c:pt>
                <c:pt idx="5">
                  <c:v>0.26800000000000002</c:v>
                </c:pt>
                <c:pt idx="6">
                  <c:v>0.32400000000000001</c:v>
                </c:pt>
                <c:pt idx="8">
                  <c:v>0.245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2-4F39-9926-0842411392C5}"/>
            </c:ext>
          </c:extLst>
        </c:ser>
        <c:ser>
          <c:idx val="1"/>
          <c:order val="1"/>
          <c:tx>
            <c:strRef>
              <c:f>'BM habilidades'!$B$4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'BM habilidades'!$C$2:$K$2</c:f>
              <c:strCache>
                <c:ptCount val="9"/>
                <c:pt idx="0">
                  <c:v>OECD</c:v>
                </c:pt>
                <c:pt idx="1">
                  <c:v>Promedio ALC</c:v>
                </c:pt>
                <c:pt idx="2">
                  <c:v>Perú</c:v>
                </c:pt>
                <c:pt idx="3">
                  <c:v>México</c:v>
                </c:pt>
                <c:pt idx="4">
                  <c:v>Ecuador</c:v>
                </c:pt>
                <c:pt idx="5">
                  <c:v>Cuba</c:v>
                </c:pt>
                <c:pt idx="6">
                  <c:v>Colombia </c:v>
                </c:pt>
                <c:pt idx="7">
                  <c:v>Chile</c:v>
                </c:pt>
                <c:pt idx="8">
                  <c:v>Brasil</c:v>
                </c:pt>
              </c:strCache>
            </c:strRef>
          </c:cat>
          <c:val>
            <c:numRef>
              <c:f>'BM habilidades'!$C$4:$K$4</c:f>
              <c:numCache>
                <c:formatCode>0.0%</c:formatCode>
                <c:ptCount val="9"/>
                <c:pt idx="0">
                  <c:v>0.39800000000000002</c:v>
                </c:pt>
                <c:pt idx="1">
                  <c:v>0.21299999999999999</c:v>
                </c:pt>
                <c:pt idx="2">
                  <c:v>0.17899999999999999</c:v>
                </c:pt>
                <c:pt idx="3">
                  <c:v>0.24299999999999999</c:v>
                </c:pt>
                <c:pt idx="4">
                  <c:v>0.17299999999999999</c:v>
                </c:pt>
                <c:pt idx="5">
                  <c:v>0.17899999999999999</c:v>
                </c:pt>
                <c:pt idx="6">
                  <c:v>0.24399999999999999</c:v>
                </c:pt>
                <c:pt idx="7">
                  <c:v>0.42899999999999999</c:v>
                </c:pt>
                <c:pt idx="8">
                  <c:v>0.113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62-4F39-9926-0842411392C5}"/>
            </c:ext>
          </c:extLst>
        </c:ser>
        <c:ser>
          <c:idx val="2"/>
          <c:order val="2"/>
          <c:tx>
            <c:strRef>
              <c:f>'BM habilidades'!$B$5</c:f>
              <c:strCache>
                <c:ptCount val="1"/>
                <c:pt idx="0">
                  <c:v>Avanzada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'BM habilidades'!$C$2:$K$2</c:f>
              <c:strCache>
                <c:ptCount val="9"/>
                <c:pt idx="0">
                  <c:v>OECD</c:v>
                </c:pt>
                <c:pt idx="1">
                  <c:v>Promedio ALC</c:v>
                </c:pt>
                <c:pt idx="2">
                  <c:v>Perú</c:v>
                </c:pt>
                <c:pt idx="3">
                  <c:v>México</c:v>
                </c:pt>
                <c:pt idx="4">
                  <c:v>Ecuador</c:v>
                </c:pt>
                <c:pt idx="5">
                  <c:v>Cuba</c:v>
                </c:pt>
                <c:pt idx="6">
                  <c:v>Colombia </c:v>
                </c:pt>
                <c:pt idx="7">
                  <c:v>Chile</c:v>
                </c:pt>
                <c:pt idx="8">
                  <c:v>Brasil</c:v>
                </c:pt>
              </c:strCache>
            </c:strRef>
          </c:cat>
          <c:val>
            <c:numRef>
              <c:f>'BM habilidades'!$C$5:$K$5</c:f>
              <c:numCache>
                <c:formatCode>0.0%</c:formatCode>
                <c:ptCount val="9"/>
                <c:pt idx="0">
                  <c:v>7.0999999999999994E-2</c:v>
                </c:pt>
                <c:pt idx="1">
                  <c:v>5.5E-2</c:v>
                </c:pt>
                <c:pt idx="2">
                  <c:v>3.1E-2</c:v>
                </c:pt>
                <c:pt idx="3">
                  <c:v>6.8000000000000005E-2</c:v>
                </c:pt>
                <c:pt idx="4">
                  <c:v>3.5000000000000003E-2</c:v>
                </c:pt>
                <c:pt idx="5">
                  <c:v>5.8000000000000003E-2</c:v>
                </c:pt>
                <c:pt idx="6">
                  <c:v>4.5999999999999999E-2</c:v>
                </c:pt>
                <c:pt idx="7">
                  <c:v>0.11600000000000001</c:v>
                </c:pt>
                <c:pt idx="8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62-4F39-9926-084241139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015584"/>
        <c:axId val="491009464"/>
      </c:barChart>
      <c:catAx>
        <c:axId val="49101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1009464"/>
        <c:crosses val="autoZero"/>
        <c:auto val="1"/>
        <c:lblAlgn val="ctr"/>
        <c:lblOffset val="100"/>
        <c:noMultiLvlLbl val="0"/>
      </c:catAx>
      <c:valAx>
        <c:axId val="49100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 población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101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1</xdr:row>
      <xdr:rowOff>0</xdr:rowOff>
    </xdr:from>
    <xdr:to>
      <xdr:col>13</xdr:col>
      <xdr:colOff>228600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C2E85BD-B7EE-2443-BB41-0D12D263B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257175</xdr:colOff>
      <xdr:row>16</xdr:row>
      <xdr:rowOff>142875</xdr:rowOff>
    </xdr:from>
    <xdr:to>
      <xdr:col>13</xdr:col>
      <xdr:colOff>257175</xdr:colOff>
      <xdr:row>31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6F64AB-D903-8CCB-34A3-73E846832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742950</xdr:colOff>
      <xdr:row>11</xdr:row>
      <xdr:rowOff>171450</xdr:rowOff>
    </xdr:from>
    <xdr:to>
      <xdr:col>17</xdr:col>
      <xdr:colOff>457200</xdr:colOff>
      <xdr:row>24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F41034-9BE0-D710-A141-8B6BD799F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100012</xdr:colOff>
      <xdr:row>7</xdr:row>
      <xdr:rowOff>133350</xdr:rowOff>
    </xdr:from>
    <xdr:to>
      <xdr:col>17</xdr:col>
      <xdr:colOff>4762</xdr:colOff>
      <xdr:row>22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424E80-3A68-23BA-F086-B2096CD1C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280987</xdr:colOff>
      <xdr:row>30</xdr:row>
      <xdr:rowOff>133350</xdr:rowOff>
    </xdr:from>
    <xdr:to>
      <xdr:col>16</xdr:col>
      <xdr:colOff>185737</xdr:colOff>
      <xdr:row>45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B39F19-5C13-2FAE-1595-F75FCBB95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280987</xdr:colOff>
      <xdr:row>53</xdr:row>
      <xdr:rowOff>0</xdr:rowOff>
    </xdr:from>
    <xdr:to>
      <xdr:col>16</xdr:col>
      <xdr:colOff>185737</xdr:colOff>
      <xdr:row>67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B52DD1A-CDF7-2C4E-9704-56EE10F0C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152400</xdr:colOff>
      <xdr:row>75</xdr:row>
      <xdr:rowOff>76200</xdr:rowOff>
    </xdr:from>
    <xdr:to>
      <xdr:col>16</xdr:col>
      <xdr:colOff>57150</xdr:colOff>
      <xdr:row>89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EF2841-60E2-4D81-262D-5C8590410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138112</xdr:colOff>
      <xdr:row>97</xdr:row>
      <xdr:rowOff>28575</xdr:rowOff>
    </xdr:from>
    <xdr:to>
      <xdr:col>16</xdr:col>
      <xdr:colOff>42862</xdr:colOff>
      <xdr:row>111</xdr:row>
      <xdr:rowOff>104775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D20ADE-C33C-4AA4-CA7C-CCC9B1DEF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300037</xdr:colOff>
      <xdr:row>2</xdr:row>
      <xdr:rowOff>38100</xdr:rowOff>
    </xdr:from>
    <xdr:to>
      <xdr:col>10</xdr:col>
      <xdr:colOff>300037</xdr:colOff>
      <xdr:row>16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6F4A04-94BA-A932-E6E5-84774F1A0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2</xdr:row>
      <xdr:rowOff>66675</xdr:rowOff>
    </xdr:from>
    <xdr:to>
      <xdr:col>11</xdr:col>
      <xdr:colOff>180975</xdr:colOff>
      <xdr:row>16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3145F8-09ED-E38D-FBE0-CA55A0F60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7</xdr:row>
      <xdr:rowOff>85725</xdr:rowOff>
    </xdr:from>
    <xdr:to>
      <xdr:col>11</xdr:col>
      <xdr:colOff>180975</xdr:colOff>
      <xdr:row>21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E5B530-99D9-8B1B-D728-7E5175953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C206-1271-417C-B034-22E06DD6EBE9}">
  <dimension ref="B2:G26"/>
  <sheetViews>
    <sheetView workbookViewId="0">
      <selection activeCell="B1" sqref="B1"/>
    </sheetView>
  </sheetViews>
  <sheetFormatPr baseColWidth="10" defaultRowHeight="15"/>
  <cols>
    <col min="2" max="2" width="19.140625" bestFit="1" customWidth="1"/>
  </cols>
  <sheetData>
    <row r="2" spans="2:7">
      <c r="B2" t="s">
        <v>8</v>
      </c>
      <c r="C2" s="34" t="s">
        <v>5</v>
      </c>
      <c r="D2" s="35"/>
      <c r="E2" s="35"/>
      <c r="F2" s="35"/>
      <c r="G2" s="36"/>
    </row>
    <row r="3" spans="2:7">
      <c r="B3" s="4" t="s">
        <v>6</v>
      </c>
      <c r="C3" s="4">
        <v>2018</v>
      </c>
      <c r="D3" s="4">
        <v>2019</v>
      </c>
      <c r="E3" s="1">
        <v>2020</v>
      </c>
      <c r="F3" s="1">
        <v>2021</v>
      </c>
      <c r="G3" s="1">
        <v>2022</v>
      </c>
    </row>
    <row r="4" spans="2:7">
      <c r="B4" s="4" t="s">
        <v>0</v>
      </c>
      <c r="C4" s="2">
        <v>12.6</v>
      </c>
      <c r="D4" s="2">
        <v>11.8</v>
      </c>
      <c r="E4" s="3">
        <v>11.4</v>
      </c>
      <c r="F4" s="3">
        <v>11.1</v>
      </c>
      <c r="G4" s="3">
        <v>10.8</v>
      </c>
    </row>
    <row r="5" spans="2:7">
      <c r="B5" s="4" t="s">
        <v>1</v>
      </c>
      <c r="C5" s="2">
        <v>14.1</v>
      </c>
      <c r="D5" s="2">
        <v>14.7</v>
      </c>
      <c r="E5" s="3">
        <v>15.7</v>
      </c>
      <c r="F5" s="3">
        <v>16.8</v>
      </c>
      <c r="G5" s="3">
        <v>17.600000000000001</v>
      </c>
    </row>
    <row r="6" spans="2:7">
      <c r="B6" s="4" t="s">
        <v>2</v>
      </c>
      <c r="C6" s="2">
        <v>104.9</v>
      </c>
      <c r="D6" s="2">
        <v>105.8</v>
      </c>
      <c r="E6" s="3">
        <v>105.4</v>
      </c>
      <c r="F6" s="3">
        <v>106.5</v>
      </c>
      <c r="G6" s="3">
        <v>108</v>
      </c>
    </row>
    <row r="7" spans="2:7">
      <c r="B7" s="4" t="s">
        <v>3</v>
      </c>
      <c r="C7" s="2">
        <v>69.7</v>
      </c>
      <c r="D7" s="2">
        <v>74</v>
      </c>
      <c r="E7" s="3">
        <v>77.7</v>
      </c>
      <c r="F7" s="3">
        <v>82</v>
      </c>
      <c r="G7" s="3">
        <v>86.9</v>
      </c>
    </row>
    <row r="8" spans="2:7">
      <c r="B8" s="4" t="s">
        <v>4</v>
      </c>
      <c r="C8" s="2">
        <v>49</v>
      </c>
      <c r="D8" s="2">
        <v>53.7</v>
      </c>
      <c r="E8" s="2">
        <v>59.6</v>
      </c>
      <c r="F8" s="2">
        <v>62.6</v>
      </c>
      <c r="G8" s="2">
        <v>66.3</v>
      </c>
    </row>
    <row r="10" spans="2:7">
      <c r="B10" s="5" t="s">
        <v>7</v>
      </c>
    </row>
    <row r="18" spans="2:7">
      <c r="B18" t="s">
        <v>9</v>
      </c>
      <c r="C18" s="34" t="s">
        <v>5</v>
      </c>
      <c r="D18" s="35"/>
      <c r="E18" s="35"/>
      <c r="F18" s="35"/>
      <c r="G18" s="36"/>
    </row>
    <row r="19" spans="2:7">
      <c r="B19" s="4" t="s">
        <v>6</v>
      </c>
      <c r="C19" s="4">
        <v>2018</v>
      </c>
      <c r="D19" s="4">
        <v>2019</v>
      </c>
      <c r="E19" s="1">
        <v>2020</v>
      </c>
      <c r="F19" s="1">
        <v>2021</v>
      </c>
      <c r="G19" s="1">
        <v>2022</v>
      </c>
    </row>
    <row r="20" spans="2:7">
      <c r="B20" s="4" t="s">
        <v>0</v>
      </c>
      <c r="C20" s="2">
        <v>14.6</v>
      </c>
      <c r="D20" s="2">
        <v>14</v>
      </c>
      <c r="E20" s="2">
        <v>13.4</v>
      </c>
      <c r="F20" s="2">
        <v>13.2</v>
      </c>
      <c r="G20" s="2">
        <v>13.1</v>
      </c>
    </row>
    <row r="21" spans="2:7">
      <c r="B21" s="4" t="s">
        <v>1</v>
      </c>
      <c r="C21" s="2">
        <v>22.5</v>
      </c>
      <c r="D21" s="2">
        <v>24.3</v>
      </c>
      <c r="E21" s="2">
        <v>26.3</v>
      </c>
      <c r="F21" s="2">
        <v>28.8</v>
      </c>
      <c r="G21" s="2">
        <v>30.7</v>
      </c>
    </row>
    <row r="22" spans="2:7">
      <c r="B22" s="4" t="s">
        <v>2</v>
      </c>
      <c r="C22" s="2">
        <v>118.5</v>
      </c>
      <c r="D22" s="2">
        <v>122.2</v>
      </c>
      <c r="E22" s="2">
        <v>119.9</v>
      </c>
      <c r="F22" s="2">
        <v>122.6</v>
      </c>
      <c r="G22" s="2">
        <v>123.9</v>
      </c>
    </row>
    <row r="23" spans="2:7">
      <c r="B23" s="4" t="s">
        <v>3</v>
      </c>
      <c r="C23" s="2">
        <v>86.1</v>
      </c>
      <c r="D23" s="2">
        <v>89.8</v>
      </c>
      <c r="E23" s="2">
        <v>89.9</v>
      </c>
      <c r="F23" s="2">
        <v>96.8</v>
      </c>
      <c r="G23" s="2">
        <v>104.2</v>
      </c>
    </row>
    <row r="24" spans="2:7">
      <c r="B24" s="4" t="s">
        <v>4</v>
      </c>
      <c r="C24" s="7">
        <v>62.7</v>
      </c>
      <c r="D24" s="3">
        <v>67.3</v>
      </c>
      <c r="E24" s="3">
        <v>72.599999999999994</v>
      </c>
      <c r="F24" s="3">
        <v>75.5</v>
      </c>
      <c r="G24" s="3">
        <v>79.099999999999994</v>
      </c>
    </row>
    <row r="26" spans="2:7">
      <c r="B26" s="5" t="s">
        <v>7</v>
      </c>
    </row>
  </sheetData>
  <mergeCells count="2">
    <mergeCell ref="C2:G2"/>
    <mergeCell ref="C18:G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4D74-F9AD-4FBB-969A-DD2476B180AB}">
  <dimension ref="A1:V21"/>
  <sheetViews>
    <sheetView topLeftCell="I1" workbookViewId="0">
      <selection activeCell="S7" sqref="S7"/>
    </sheetView>
  </sheetViews>
  <sheetFormatPr baseColWidth="10" defaultRowHeight="15"/>
  <cols>
    <col min="2" max="2" width="11.42578125" customWidth="1"/>
    <col min="4" max="4" width="6" customWidth="1"/>
    <col min="6" max="6" width="6.42578125" customWidth="1"/>
    <col min="8" max="8" width="6.28515625" customWidth="1"/>
    <col min="12" max="12" width="7.5703125" customWidth="1"/>
    <col min="14" max="14" width="8.140625" customWidth="1"/>
    <col min="15" max="16" width="11.42578125" hidden="1" customWidth="1"/>
  </cols>
  <sheetData>
    <row r="1" spans="1:22">
      <c r="A1" s="43" t="s">
        <v>10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6" t="s">
        <v>11</v>
      </c>
      <c r="R1" s="6" t="s">
        <v>11</v>
      </c>
      <c r="S1" s="6" t="s">
        <v>11</v>
      </c>
      <c r="T1" s="6" t="s">
        <v>11</v>
      </c>
      <c r="U1" s="6" t="s">
        <v>11</v>
      </c>
      <c r="V1" s="6" t="s">
        <v>11</v>
      </c>
    </row>
    <row r="2" spans="1:22">
      <c r="A2" s="8" t="s">
        <v>11</v>
      </c>
      <c r="B2" s="8" t="s">
        <v>11</v>
      </c>
      <c r="C2" s="41" t="s">
        <v>12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1" t="s">
        <v>11</v>
      </c>
      <c r="O2" s="42"/>
      <c r="P2" s="42"/>
      <c r="Q2" s="41" t="s">
        <v>13</v>
      </c>
      <c r="R2" s="42"/>
      <c r="S2" s="42"/>
      <c r="T2" s="42"/>
      <c r="U2" s="42"/>
      <c r="V2" s="9" t="s">
        <v>11</v>
      </c>
    </row>
    <row r="3" spans="1:22">
      <c r="A3" s="8" t="s">
        <v>11</v>
      </c>
      <c r="B3" s="8" t="s">
        <v>11</v>
      </c>
      <c r="C3" s="10" t="s">
        <v>14</v>
      </c>
      <c r="D3" s="10" t="s">
        <v>15</v>
      </c>
      <c r="E3" s="10" t="s">
        <v>16</v>
      </c>
      <c r="F3" s="10" t="s">
        <v>15</v>
      </c>
      <c r="G3" s="10" t="s">
        <v>17</v>
      </c>
      <c r="H3" s="10" t="s">
        <v>15</v>
      </c>
      <c r="I3" s="11" t="s">
        <v>18</v>
      </c>
      <c r="J3" s="11" t="s">
        <v>15</v>
      </c>
      <c r="K3" s="11" t="s">
        <v>19</v>
      </c>
      <c r="L3" s="11" t="s">
        <v>15</v>
      </c>
      <c r="M3" s="10" t="s">
        <v>20</v>
      </c>
      <c r="N3" s="39" t="s">
        <v>15</v>
      </c>
      <c r="O3" s="40"/>
      <c r="P3" s="40"/>
      <c r="Q3" s="10" t="s">
        <v>21</v>
      </c>
      <c r="R3" s="10" t="s">
        <v>15</v>
      </c>
      <c r="S3" s="10" t="s">
        <v>22</v>
      </c>
      <c r="T3" s="10" t="s">
        <v>15</v>
      </c>
      <c r="U3" s="10" t="s">
        <v>23</v>
      </c>
      <c r="V3" s="10" t="s">
        <v>15</v>
      </c>
    </row>
    <row r="4" spans="1:22" ht="22.5">
      <c r="A4" s="12" t="s">
        <v>11</v>
      </c>
      <c r="B4" s="12" t="s">
        <v>11</v>
      </c>
      <c r="C4" s="13" t="s">
        <v>24</v>
      </c>
      <c r="D4" s="9" t="s">
        <v>25</v>
      </c>
      <c r="E4" s="13" t="s">
        <v>26</v>
      </c>
      <c r="F4" s="9" t="s">
        <v>25</v>
      </c>
      <c r="G4" s="13" t="s">
        <v>27</v>
      </c>
      <c r="H4" s="9" t="s">
        <v>25</v>
      </c>
      <c r="I4" s="13" t="s">
        <v>28</v>
      </c>
      <c r="J4" s="9" t="s">
        <v>25</v>
      </c>
      <c r="K4" s="13" t="s">
        <v>29</v>
      </c>
      <c r="L4" s="9" t="s">
        <v>25</v>
      </c>
      <c r="M4" s="13" t="s">
        <v>30</v>
      </c>
      <c r="N4" s="41" t="s">
        <v>25</v>
      </c>
      <c r="O4" s="42"/>
      <c r="P4" s="42"/>
      <c r="Q4" s="13" t="s">
        <v>29</v>
      </c>
      <c r="R4" s="9" t="s">
        <v>25</v>
      </c>
      <c r="S4" s="13" t="s">
        <v>31</v>
      </c>
      <c r="T4" s="9" t="s">
        <v>25</v>
      </c>
      <c r="U4" s="13" t="s">
        <v>32</v>
      </c>
      <c r="V4" s="9" t="s">
        <v>25</v>
      </c>
    </row>
    <row r="5" spans="1:22">
      <c r="A5" s="14">
        <v>7</v>
      </c>
      <c r="B5" s="14" t="s">
        <v>33</v>
      </c>
      <c r="C5" s="15"/>
      <c r="D5" s="16"/>
      <c r="E5" s="15"/>
      <c r="F5" s="16"/>
      <c r="G5" s="15"/>
      <c r="H5" s="16"/>
      <c r="I5" s="15"/>
      <c r="J5" s="16"/>
      <c r="K5" s="15" t="s">
        <v>35</v>
      </c>
      <c r="L5" s="16">
        <v>2022</v>
      </c>
      <c r="M5" s="15" t="s">
        <v>36</v>
      </c>
      <c r="N5" s="37">
        <v>2022</v>
      </c>
      <c r="O5" s="38"/>
      <c r="P5" s="38"/>
      <c r="Q5" s="15" t="s">
        <v>37</v>
      </c>
      <c r="R5" s="16">
        <v>2021</v>
      </c>
      <c r="S5" s="15" t="s">
        <v>38</v>
      </c>
      <c r="T5" s="16">
        <v>2022</v>
      </c>
      <c r="U5" s="15" t="s">
        <v>39</v>
      </c>
      <c r="V5" s="16">
        <v>2021</v>
      </c>
    </row>
    <row r="6" spans="1:22">
      <c r="A6" s="14">
        <v>24</v>
      </c>
      <c r="B6" s="14" t="s">
        <v>40</v>
      </c>
      <c r="C6" s="15">
        <v>53.1</v>
      </c>
      <c r="D6" s="16">
        <v>2021</v>
      </c>
      <c r="E6" s="15" t="s">
        <v>41</v>
      </c>
      <c r="F6" s="16">
        <v>2021</v>
      </c>
      <c r="G6" s="15" t="s">
        <v>42</v>
      </c>
      <c r="H6" s="16">
        <v>2021</v>
      </c>
      <c r="I6" s="15" t="s">
        <v>43</v>
      </c>
      <c r="J6" s="16">
        <v>2021</v>
      </c>
      <c r="K6" s="15" t="s">
        <v>44</v>
      </c>
      <c r="L6" s="16">
        <v>2022</v>
      </c>
      <c r="M6" s="15" t="s">
        <v>45</v>
      </c>
      <c r="N6" s="37">
        <v>2022</v>
      </c>
      <c r="O6" s="38"/>
      <c r="P6" s="38"/>
      <c r="Q6" s="15" t="s">
        <v>46</v>
      </c>
      <c r="R6" s="16">
        <v>2021</v>
      </c>
      <c r="S6" s="15" t="s">
        <v>47</v>
      </c>
      <c r="T6" s="16">
        <v>2022</v>
      </c>
      <c r="U6" s="15" t="s">
        <v>48</v>
      </c>
      <c r="V6" s="16">
        <v>2021</v>
      </c>
    </row>
    <row r="7" spans="1:22">
      <c r="A7" s="14">
        <v>37</v>
      </c>
      <c r="B7" s="14" t="s">
        <v>49</v>
      </c>
      <c r="C7" s="15" t="s">
        <v>50</v>
      </c>
      <c r="D7" s="16">
        <v>2021</v>
      </c>
      <c r="E7" s="15" t="s">
        <v>51</v>
      </c>
      <c r="F7" s="16">
        <v>2021</v>
      </c>
      <c r="G7" s="15" t="s">
        <v>52</v>
      </c>
      <c r="H7" s="16">
        <v>2021</v>
      </c>
      <c r="I7" s="15" t="s">
        <v>53</v>
      </c>
      <c r="J7" s="16">
        <v>2021</v>
      </c>
      <c r="K7" s="15" t="s">
        <v>54</v>
      </c>
      <c r="L7" s="16">
        <v>2022</v>
      </c>
      <c r="M7" s="15" t="s">
        <v>55</v>
      </c>
      <c r="N7" s="37">
        <v>2022</v>
      </c>
      <c r="O7" s="38"/>
      <c r="P7" s="38"/>
      <c r="Q7" s="15" t="s">
        <v>56</v>
      </c>
      <c r="R7" s="16">
        <v>2018</v>
      </c>
      <c r="S7" s="15" t="s">
        <v>57</v>
      </c>
      <c r="T7" s="16">
        <v>2022</v>
      </c>
      <c r="U7" s="15" t="s">
        <v>58</v>
      </c>
      <c r="V7" s="16">
        <v>2021</v>
      </c>
    </row>
    <row r="8" spans="1:22">
      <c r="A8" s="14">
        <v>52</v>
      </c>
      <c r="B8" s="14" t="s">
        <v>59</v>
      </c>
      <c r="C8" s="15"/>
      <c r="D8" s="16"/>
      <c r="E8" s="15" t="s">
        <v>60</v>
      </c>
      <c r="F8" s="16">
        <v>2022</v>
      </c>
      <c r="G8" s="15" t="s">
        <v>52</v>
      </c>
      <c r="H8" s="16">
        <v>2022</v>
      </c>
      <c r="I8" s="15" t="s">
        <v>61</v>
      </c>
      <c r="J8" s="16">
        <v>2022</v>
      </c>
      <c r="K8" s="15" t="s">
        <v>62</v>
      </c>
      <c r="L8" s="16">
        <v>2022</v>
      </c>
      <c r="M8" s="15" t="s">
        <v>63</v>
      </c>
      <c r="N8" s="37">
        <v>2022</v>
      </c>
      <c r="O8" s="38"/>
      <c r="P8" s="38"/>
      <c r="Q8" s="15" t="s">
        <v>64</v>
      </c>
      <c r="R8" s="16">
        <v>2022</v>
      </c>
      <c r="S8" s="15" t="s">
        <v>65</v>
      </c>
      <c r="T8" s="16">
        <v>2022</v>
      </c>
      <c r="U8" s="15" t="s">
        <v>34</v>
      </c>
      <c r="V8" s="16"/>
    </row>
    <row r="9" spans="1:22">
      <c r="A9" s="14">
        <v>114</v>
      </c>
      <c r="B9" s="14" t="s">
        <v>66</v>
      </c>
      <c r="C9" s="15" t="s">
        <v>67</v>
      </c>
      <c r="D9" s="16">
        <v>2021</v>
      </c>
      <c r="E9" s="15" t="s">
        <v>68</v>
      </c>
      <c r="F9" s="16">
        <v>2021</v>
      </c>
      <c r="G9" s="15" t="s">
        <v>69</v>
      </c>
      <c r="H9" s="16">
        <v>2021</v>
      </c>
      <c r="I9" s="15" t="s">
        <v>70</v>
      </c>
      <c r="J9" s="16">
        <v>2021</v>
      </c>
      <c r="K9" s="15" t="s">
        <v>71</v>
      </c>
      <c r="L9" s="16">
        <v>2021</v>
      </c>
      <c r="M9" s="15" t="s">
        <v>72</v>
      </c>
      <c r="N9" s="37">
        <v>2021</v>
      </c>
      <c r="O9" s="38"/>
      <c r="P9" s="38"/>
      <c r="Q9" s="15" t="s">
        <v>73</v>
      </c>
      <c r="R9" s="16">
        <v>2021</v>
      </c>
      <c r="S9" s="15" t="s">
        <v>74</v>
      </c>
      <c r="T9" s="16">
        <v>2021</v>
      </c>
      <c r="U9" s="15" t="s">
        <v>75</v>
      </c>
      <c r="V9" s="16">
        <v>2021</v>
      </c>
    </row>
    <row r="10" spans="1:22">
      <c r="A10" s="14">
        <v>136</v>
      </c>
      <c r="B10" s="14" t="s">
        <v>85</v>
      </c>
      <c r="C10" s="15"/>
      <c r="D10" s="16"/>
      <c r="E10" s="15"/>
      <c r="F10" s="16"/>
      <c r="G10" s="15"/>
      <c r="H10" s="16"/>
      <c r="I10" s="15"/>
      <c r="J10" s="16"/>
      <c r="K10" s="15" t="s">
        <v>86</v>
      </c>
      <c r="L10" s="16">
        <v>2019</v>
      </c>
      <c r="M10" s="15" t="s">
        <v>87</v>
      </c>
      <c r="N10" s="37">
        <v>2019</v>
      </c>
      <c r="O10" s="38"/>
      <c r="P10" s="38"/>
      <c r="Q10" s="15" t="s">
        <v>34</v>
      </c>
      <c r="R10" s="16"/>
      <c r="S10" s="15" t="s">
        <v>88</v>
      </c>
      <c r="T10" s="16">
        <v>2019</v>
      </c>
      <c r="U10" s="15" t="s">
        <v>34</v>
      </c>
      <c r="V10" s="16"/>
    </row>
    <row r="11" spans="1:22">
      <c r="A11" s="14">
        <v>139</v>
      </c>
      <c r="B11" s="14" t="s">
        <v>76</v>
      </c>
      <c r="C11" s="15" t="s">
        <v>77</v>
      </c>
      <c r="D11" s="16">
        <v>2021</v>
      </c>
      <c r="E11" s="15" t="s">
        <v>78</v>
      </c>
      <c r="F11" s="16">
        <v>2021</v>
      </c>
      <c r="G11" s="15" t="s">
        <v>79</v>
      </c>
      <c r="H11" s="16">
        <v>2021</v>
      </c>
      <c r="I11" s="15" t="s">
        <v>80</v>
      </c>
      <c r="J11" s="16">
        <v>2021</v>
      </c>
      <c r="K11" s="15" t="s">
        <v>81</v>
      </c>
      <c r="L11" s="16">
        <v>2022</v>
      </c>
      <c r="M11" s="15" t="s">
        <v>82</v>
      </c>
      <c r="N11" s="37">
        <v>2022</v>
      </c>
      <c r="O11" s="38"/>
      <c r="P11" s="38"/>
      <c r="Q11" s="15" t="s">
        <v>83</v>
      </c>
      <c r="R11" s="16">
        <v>2019</v>
      </c>
      <c r="S11" s="15" t="s">
        <v>84</v>
      </c>
      <c r="T11" s="16">
        <v>2022</v>
      </c>
      <c r="U11" s="15" t="s">
        <v>70</v>
      </c>
      <c r="V11" s="16">
        <v>2021</v>
      </c>
    </row>
    <row r="14" spans="1:22" ht="45">
      <c r="C14" s="15" t="s">
        <v>92</v>
      </c>
      <c r="D14" s="15" t="s">
        <v>91</v>
      </c>
      <c r="E14" s="15" t="s">
        <v>24</v>
      </c>
      <c r="F14" s="15" t="s">
        <v>26</v>
      </c>
      <c r="G14" s="15" t="s">
        <v>89</v>
      </c>
      <c r="H14" s="15" t="s">
        <v>90</v>
      </c>
    </row>
    <row r="15" spans="1:22">
      <c r="B15" t="str">
        <f t="shared" ref="B15:B21" si="0">+B5</f>
        <v>Argentina</v>
      </c>
      <c r="G15">
        <v>62.6</v>
      </c>
      <c r="H15">
        <v>92.1</v>
      </c>
    </row>
    <row r="16" spans="1:22">
      <c r="B16" t="str">
        <f t="shared" si="0"/>
        <v>Brazil</v>
      </c>
      <c r="C16">
        <v>14.3</v>
      </c>
      <c r="D16">
        <v>94.5</v>
      </c>
      <c r="E16">
        <f t="shared" ref="E16" si="1">+C6</f>
        <v>53.1</v>
      </c>
      <c r="F16">
        <v>94.9</v>
      </c>
      <c r="G16">
        <v>39.4</v>
      </c>
      <c r="H16">
        <v>80.2</v>
      </c>
    </row>
    <row r="17" spans="2:8">
      <c r="B17" t="str">
        <f t="shared" si="0"/>
        <v>Colombia</v>
      </c>
      <c r="C17">
        <v>22</v>
      </c>
      <c r="D17">
        <v>96.3</v>
      </c>
      <c r="E17">
        <v>62.2</v>
      </c>
      <c r="F17">
        <v>89.5</v>
      </c>
      <c r="G17">
        <v>34</v>
      </c>
      <c r="H17">
        <v>59.5</v>
      </c>
    </row>
    <row r="18" spans="2:8">
      <c r="B18" t="str">
        <f t="shared" si="0"/>
        <v>Ecuador</v>
      </c>
      <c r="C18">
        <v>22</v>
      </c>
      <c r="D18">
        <v>92.5</v>
      </c>
      <c r="F18">
        <v>41.7</v>
      </c>
      <c r="G18">
        <v>40.4</v>
      </c>
      <c r="H18">
        <v>60.4</v>
      </c>
    </row>
    <row r="19" spans="2:8">
      <c r="B19" t="str">
        <f t="shared" si="0"/>
        <v>Mexico</v>
      </c>
      <c r="C19">
        <v>39.1</v>
      </c>
      <c r="D19">
        <v>93.5</v>
      </c>
      <c r="E19">
        <v>48.5</v>
      </c>
      <c r="F19">
        <v>91.2</v>
      </c>
      <c r="G19">
        <v>44.8</v>
      </c>
      <c r="H19">
        <v>66.400000000000006</v>
      </c>
    </row>
    <row r="20" spans="2:8">
      <c r="B20" t="str">
        <f t="shared" si="0"/>
        <v>Panama</v>
      </c>
      <c r="G20">
        <v>37.299999999999997</v>
      </c>
      <c r="H20">
        <v>70.7</v>
      </c>
    </row>
    <row r="21" spans="2:8">
      <c r="B21" t="str">
        <f t="shared" si="0"/>
        <v>Peru</v>
      </c>
      <c r="C21">
        <v>12.1</v>
      </c>
      <c r="D21">
        <v>94.1</v>
      </c>
      <c r="E21">
        <v>69.900000000000006</v>
      </c>
      <c r="F21">
        <v>81.400000000000006</v>
      </c>
      <c r="G21">
        <v>32.9</v>
      </c>
      <c r="H21">
        <v>55.2</v>
      </c>
    </row>
  </sheetData>
  <mergeCells count="13">
    <mergeCell ref="Q2:U2"/>
    <mergeCell ref="N5:P5"/>
    <mergeCell ref="N6:P6"/>
    <mergeCell ref="N3:P3"/>
    <mergeCell ref="N4:P4"/>
    <mergeCell ref="A1:P1"/>
    <mergeCell ref="C2:M2"/>
    <mergeCell ref="N2:P2"/>
    <mergeCell ref="N10:P10"/>
    <mergeCell ref="N9:P9"/>
    <mergeCell ref="N11:P11"/>
    <mergeCell ref="N7:P7"/>
    <mergeCell ref="N8:P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D6BF-7245-4418-AFCA-3D4278F221CC}">
  <dimension ref="B1:Q96"/>
  <sheetViews>
    <sheetView topLeftCell="A90" workbookViewId="0">
      <selection activeCell="N90" sqref="N90"/>
    </sheetView>
  </sheetViews>
  <sheetFormatPr baseColWidth="10" defaultRowHeight="15"/>
  <cols>
    <col min="2" max="2" width="23.85546875" bestFit="1" customWidth="1"/>
    <col min="3" max="17" width="5" bestFit="1" customWidth="1"/>
  </cols>
  <sheetData>
    <row r="1" spans="2:17">
      <c r="B1" t="s">
        <v>96</v>
      </c>
    </row>
    <row r="2" spans="2:17">
      <c r="B2" s="18" t="s">
        <v>93</v>
      </c>
      <c r="C2" s="18">
        <v>2008</v>
      </c>
      <c r="D2" s="18">
        <v>2009</v>
      </c>
      <c r="E2" s="18">
        <v>2010</v>
      </c>
      <c r="F2" s="18">
        <v>2011</v>
      </c>
      <c r="G2" s="18">
        <v>2012</v>
      </c>
      <c r="H2" s="18">
        <v>2013</v>
      </c>
      <c r="I2" s="18">
        <v>2014</v>
      </c>
      <c r="J2" s="18">
        <v>2015</v>
      </c>
      <c r="K2" s="18">
        <v>2016</v>
      </c>
      <c r="L2" s="18">
        <v>2017</v>
      </c>
      <c r="M2" s="18">
        <v>2018</v>
      </c>
      <c r="N2" s="18">
        <v>2019</v>
      </c>
      <c r="O2" s="18">
        <v>2020</v>
      </c>
      <c r="P2" s="18">
        <v>2021</v>
      </c>
      <c r="Q2" s="18">
        <v>2022</v>
      </c>
    </row>
    <row r="3" spans="2:17">
      <c r="B3" t="s">
        <v>8</v>
      </c>
      <c r="C3" s="17">
        <v>5.18</v>
      </c>
      <c r="D3" s="17">
        <v>5.16</v>
      </c>
      <c r="E3" s="17">
        <v>3.78</v>
      </c>
      <c r="F3" s="17">
        <v>3.27</v>
      </c>
      <c r="G3" s="17">
        <v>3.11</v>
      </c>
      <c r="H3" s="17">
        <v>3.0131622710813302</v>
      </c>
      <c r="I3" s="17">
        <v>2.9015612069999999</v>
      </c>
      <c r="J3" s="17">
        <v>2.3299921490000002</v>
      </c>
      <c r="K3" s="17">
        <v>2.57</v>
      </c>
      <c r="L3" s="17">
        <v>2.5050713868974399</v>
      </c>
      <c r="M3" s="17">
        <v>2.8343380091455899</v>
      </c>
      <c r="N3" s="17">
        <v>2.8427708634000002</v>
      </c>
      <c r="O3" s="17">
        <v>2.7661154922411599</v>
      </c>
      <c r="P3" s="17">
        <v>2.9839996715830601</v>
      </c>
      <c r="Q3" s="17">
        <v>2.6410078085797499</v>
      </c>
    </row>
    <row r="4" spans="2:17">
      <c r="B4" t="s">
        <v>94</v>
      </c>
      <c r="C4" s="17">
        <v>7.42</v>
      </c>
      <c r="D4" s="17">
        <v>5.9</v>
      </c>
      <c r="E4" s="17">
        <v>5.04</v>
      </c>
      <c r="F4" s="17">
        <v>4.66</v>
      </c>
      <c r="G4" s="17">
        <v>3.97</v>
      </c>
      <c r="H4" s="17">
        <v>3.6078355713604902</v>
      </c>
      <c r="I4" s="17">
        <v>3.3494299750000001</v>
      </c>
      <c r="J4" s="17">
        <v>3.1247683429999999</v>
      </c>
      <c r="K4" s="17">
        <v>3.2</v>
      </c>
      <c r="L4" s="17">
        <v>3.2803559641826099</v>
      </c>
      <c r="M4" s="17">
        <v>3.3492508767271598</v>
      </c>
      <c r="N4" s="17">
        <v>3.4666703564999999</v>
      </c>
      <c r="O4" s="17">
        <v>3.1886590028133202</v>
      </c>
      <c r="P4" s="17">
        <v>3.5170094381050099</v>
      </c>
      <c r="Q4" s="17">
        <v>2.9864895858084699</v>
      </c>
    </row>
    <row r="5" spans="2:17">
      <c r="B5" t="s">
        <v>95</v>
      </c>
      <c r="C5" s="17">
        <v>9.0299999999999994</v>
      </c>
      <c r="D5" s="17">
        <v>6.5350000000000001</v>
      </c>
      <c r="E5" s="17">
        <v>6.59</v>
      </c>
      <c r="F5" s="17">
        <v>5.26</v>
      </c>
      <c r="G5" s="17">
        <v>5.2549999999999999</v>
      </c>
      <c r="H5" s="17">
        <v>4.8307864386946404</v>
      </c>
      <c r="I5" s="17">
        <v>4.289851165</v>
      </c>
      <c r="J5" s="17">
        <v>4.1410898475</v>
      </c>
      <c r="K5" s="17">
        <v>3.71</v>
      </c>
      <c r="L5" s="17">
        <v>4.5326401265240097</v>
      </c>
      <c r="M5" s="17">
        <v>4.3403978434653201</v>
      </c>
      <c r="N5" s="17">
        <v>4.6962034612999997</v>
      </c>
      <c r="O5" s="17">
        <v>4.7340202297949396</v>
      </c>
      <c r="P5" s="17">
        <v>5.1329142942825996</v>
      </c>
      <c r="Q5" s="17">
        <v>3.7761851578016401</v>
      </c>
    </row>
    <row r="6" spans="2:17">
      <c r="B6" t="s">
        <v>49</v>
      </c>
      <c r="C6">
        <v>8.77</v>
      </c>
      <c r="D6">
        <v>8.26</v>
      </c>
      <c r="E6">
        <v>7.72</v>
      </c>
      <c r="F6">
        <v>4.66</v>
      </c>
      <c r="G6">
        <v>3.28</v>
      </c>
      <c r="H6">
        <v>3.06</v>
      </c>
      <c r="I6">
        <v>2.78</v>
      </c>
      <c r="J6">
        <v>2.0299999999999998</v>
      </c>
      <c r="K6">
        <v>3.19</v>
      </c>
      <c r="L6">
        <v>4.04</v>
      </c>
      <c r="M6">
        <v>3.93</v>
      </c>
      <c r="N6">
        <v>4.1900000000000004</v>
      </c>
      <c r="O6">
        <v>4.16</v>
      </c>
      <c r="P6">
        <v>4.41</v>
      </c>
      <c r="Q6">
        <v>3.8</v>
      </c>
    </row>
    <row r="23" spans="2:17">
      <c r="B23" t="s">
        <v>98</v>
      </c>
    </row>
    <row r="25" spans="2:17">
      <c r="B25" t="s">
        <v>96</v>
      </c>
    </row>
    <row r="26" spans="2:17">
      <c r="B26" s="18" t="s">
        <v>97</v>
      </c>
      <c r="C26" s="18">
        <v>2013</v>
      </c>
      <c r="D26" s="18">
        <v>2014</v>
      </c>
      <c r="E26" s="18">
        <v>2015</v>
      </c>
      <c r="F26" s="18">
        <v>2016</v>
      </c>
      <c r="G26" s="18">
        <v>2017</v>
      </c>
      <c r="H26" s="18">
        <v>2018</v>
      </c>
      <c r="I26" s="18">
        <v>2019</v>
      </c>
      <c r="J26" s="18">
        <v>2020</v>
      </c>
      <c r="K26" s="18">
        <v>2021</v>
      </c>
      <c r="L26" s="18">
        <v>2022</v>
      </c>
    </row>
    <row r="27" spans="2:17">
      <c r="B27" t="s">
        <v>8</v>
      </c>
      <c r="C27" s="17">
        <v>2.17</v>
      </c>
      <c r="D27" s="17">
        <v>1.81</v>
      </c>
      <c r="E27" s="17">
        <v>1.36</v>
      </c>
      <c r="F27" s="17">
        <v>1.502868243</v>
      </c>
      <c r="G27" s="17">
        <v>1.39515852725167</v>
      </c>
      <c r="H27" s="17">
        <v>1.4368832192352901</v>
      </c>
      <c r="I27" s="17">
        <v>1.3680501909</v>
      </c>
      <c r="J27" s="17">
        <v>1.2308417356566199</v>
      </c>
      <c r="K27" s="17">
        <v>1.2520185599523801</v>
      </c>
      <c r="L27" s="17">
        <v>0.95974571115537299</v>
      </c>
      <c r="M27" s="17"/>
      <c r="N27" s="17"/>
      <c r="O27" s="17"/>
      <c r="P27" s="17"/>
      <c r="Q27" s="17"/>
    </row>
    <row r="28" spans="2:17">
      <c r="B28" t="s">
        <v>94</v>
      </c>
      <c r="C28" s="17">
        <v>2.86</v>
      </c>
      <c r="D28" s="17">
        <v>2.29</v>
      </c>
      <c r="E28" s="17">
        <v>1.64</v>
      </c>
      <c r="F28" s="17">
        <v>1.797064794</v>
      </c>
      <c r="G28" s="17">
        <v>1.71948621546961</v>
      </c>
      <c r="H28" s="17">
        <v>1.6015001398766999</v>
      </c>
      <c r="I28" s="17">
        <v>1.6774211402999999</v>
      </c>
      <c r="J28" s="17">
        <v>1.30162464958459</v>
      </c>
      <c r="K28" s="17">
        <v>1.6930961483096001</v>
      </c>
      <c r="L28" s="17">
        <v>1.22324295404891</v>
      </c>
      <c r="M28" s="17"/>
      <c r="N28" s="17"/>
      <c r="O28" s="17"/>
      <c r="P28" s="17"/>
      <c r="Q28" s="17"/>
    </row>
    <row r="29" spans="2:17">
      <c r="B29" t="s">
        <v>95</v>
      </c>
      <c r="C29" s="17">
        <v>3.4299999999999899</v>
      </c>
      <c r="D29" s="17">
        <v>2.4900000000000002</v>
      </c>
      <c r="E29" s="17">
        <v>2.61</v>
      </c>
      <c r="F29" s="17">
        <v>2.2955453669999999</v>
      </c>
      <c r="G29" s="17">
        <v>2.6461962559841399</v>
      </c>
      <c r="H29" s="17">
        <v>2.4126125878993498</v>
      </c>
      <c r="I29" s="17">
        <v>2.38632823905</v>
      </c>
      <c r="J29" s="17">
        <v>2.33311360340605</v>
      </c>
      <c r="K29" s="17">
        <v>2.4298042025932798</v>
      </c>
      <c r="L29" s="17">
        <v>1.9488431044955099</v>
      </c>
      <c r="M29" s="17"/>
      <c r="N29" s="17"/>
      <c r="O29" s="17"/>
      <c r="P29" s="17"/>
      <c r="Q29" s="17"/>
    </row>
    <row r="30" spans="2:17">
      <c r="B30" t="s">
        <v>49</v>
      </c>
      <c r="C30">
        <v>2.4700000000000002</v>
      </c>
      <c r="D30">
        <v>2.1</v>
      </c>
      <c r="E30">
        <v>1.64</v>
      </c>
      <c r="F30">
        <v>2</v>
      </c>
      <c r="G30">
        <v>2.52</v>
      </c>
      <c r="H30">
        <v>2.74</v>
      </c>
      <c r="I30">
        <v>2.74</v>
      </c>
      <c r="J30">
        <v>2.35</v>
      </c>
      <c r="K30">
        <v>1.86</v>
      </c>
      <c r="L30">
        <v>1.5</v>
      </c>
    </row>
    <row r="47" spans="2:17">
      <c r="B47" t="s">
        <v>96</v>
      </c>
    </row>
    <row r="48" spans="2:17">
      <c r="B48" s="18" t="s">
        <v>99</v>
      </c>
      <c r="C48" s="18">
        <v>2008</v>
      </c>
      <c r="D48" s="18">
        <v>2009</v>
      </c>
      <c r="E48" s="18">
        <v>2010</v>
      </c>
      <c r="F48" s="18">
        <v>2011</v>
      </c>
      <c r="G48" s="18">
        <v>2012</v>
      </c>
      <c r="H48" s="18">
        <v>2013</v>
      </c>
      <c r="I48" s="18">
        <v>2014</v>
      </c>
      <c r="J48" s="18">
        <v>2015</v>
      </c>
      <c r="K48" s="18">
        <v>2016</v>
      </c>
      <c r="L48" s="18">
        <v>2017</v>
      </c>
      <c r="M48" s="18">
        <v>2018</v>
      </c>
      <c r="N48" s="18">
        <v>2019</v>
      </c>
      <c r="O48" s="18">
        <v>2020</v>
      </c>
      <c r="P48" s="18">
        <v>2021</v>
      </c>
      <c r="Q48" s="18">
        <v>2022</v>
      </c>
    </row>
    <row r="49" spans="2:17">
      <c r="B49" t="s">
        <v>8</v>
      </c>
      <c r="C49" s="19">
        <v>3.58</v>
      </c>
      <c r="D49" s="19">
        <v>3</v>
      </c>
      <c r="E49" s="19">
        <v>2.88</v>
      </c>
      <c r="F49" s="19">
        <v>2.75</v>
      </c>
      <c r="G49" s="19">
        <v>2.35</v>
      </c>
      <c r="H49" s="19">
        <v>1.9045218680504099</v>
      </c>
      <c r="I49" s="19">
        <v>1.8</v>
      </c>
      <c r="J49" s="19">
        <v>1.4</v>
      </c>
      <c r="K49" s="19">
        <v>1.4</v>
      </c>
      <c r="L49" s="19">
        <v>1.38836276177063</v>
      </c>
      <c r="M49" s="19">
        <v>1.0474408974278799</v>
      </c>
      <c r="N49" s="19">
        <v>1.0858790788881401</v>
      </c>
      <c r="O49" s="19">
        <v>1.08123254930769</v>
      </c>
      <c r="P49" s="19">
        <v>1.0624028198136499</v>
      </c>
      <c r="Q49" s="19">
        <v>0.90716273416722704</v>
      </c>
    </row>
    <row r="50" spans="2:17">
      <c r="B50" t="s">
        <v>94</v>
      </c>
      <c r="C50" s="19">
        <v>3.93</v>
      </c>
      <c r="D50" s="19">
        <v>3.85</v>
      </c>
      <c r="E50" s="19">
        <v>3.35</v>
      </c>
      <c r="F50" s="19">
        <v>3.31</v>
      </c>
      <c r="G50" s="19">
        <v>2.82</v>
      </c>
      <c r="H50" s="19">
        <v>2.7242393434065999</v>
      </c>
      <c r="I50" s="19">
        <v>2.2999999999999998</v>
      </c>
      <c r="J50" s="19">
        <v>2</v>
      </c>
      <c r="K50" s="19">
        <v>1.7</v>
      </c>
      <c r="L50" s="19">
        <v>1.8403801346062301</v>
      </c>
      <c r="M50" s="19">
        <v>1.53177783827257</v>
      </c>
      <c r="N50" s="19">
        <v>1.7962649723950901</v>
      </c>
      <c r="O50" s="19">
        <v>1.4336300659601999</v>
      </c>
      <c r="P50" s="19">
        <v>1.1702698199378401</v>
      </c>
      <c r="Q50" s="19">
        <v>0.96580927842242503</v>
      </c>
    </row>
    <row r="51" spans="2:17">
      <c r="B51" t="s">
        <v>95</v>
      </c>
      <c r="C51" s="19">
        <v>3.84</v>
      </c>
      <c r="D51" s="19">
        <v>3.78</v>
      </c>
      <c r="E51" s="19">
        <v>3.35</v>
      </c>
      <c r="F51" s="19">
        <v>3.31</v>
      </c>
      <c r="G51" s="19">
        <v>2.82</v>
      </c>
      <c r="H51" s="19">
        <v>2.9940718662030101</v>
      </c>
      <c r="I51" s="19">
        <v>2.9</v>
      </c>
      <c r="J51" s="19">
        <v>2.1</v>
      </c>
      <c r="K51" s="19">
        <v>2.2999999999999998</v>
      </c>
      <c r="L51" s="19">
        <v>2.6134690709736899</v>
      </c>
      <c r="M51" s="19">
        <v>2.09527559055118</v>
      </c>
      <c r="N51" s="19">
        <v>2.09527559055118</v>
      </c>
      <c r="O51" s="19">
        <v>1.96212884546847</v>
      </c>
      <c r="P51" s="19">
        <v>2.7862891179481002</v>
      </c>
      <c r="Q51" s="19">
        <v>1.681496330031</v>
      </c>
    </row>
    <row r="52" spans="2:17">
      <c r="B52" t="s">
        <v>49</v>
      </c>
      <c r="C52" s="19">
        <v>5.62</v>
      </c>
      <c r="D52" s="19">
        <v>4.88</v>
      </c>
      <c r="E52" s="19">
        <v>4.8600000000000003</v>
      </c>
      <c r="F52" s="19">
        <v>4.3600000000000003</v>
      </c>
      <c r="G52" s="19">
        <v>3.98</v>
      </c>
      <c r="H52" s="19">
        <v>3.26</v>
      </c>
      <c r="I52" s="19">
        <v>3</v>
      </c>
      <c r="J52" s="19">
        <v>2</v>
      </c>
      <c r="K52" s="19">
        <v>2.1</v>
      </c>
      <c r="L52" s="19">
        <v>2.72</v>
      </c>
      <c r="M52" s="19">
        <v>1.47</v>
      </c>
      <c r="N52" s="19">
        <v>1.38</v>
      </c>
      <c r="O52" s="19">
        <v>1.24</v>
      </c>
      <c r="P52" s="19">
        <v>1.1200000000000001</v>
      </c>
      <c r="Q52" s="19">
        <v>0.97</v>
      </c>
    </row>
    <row r="70" spans="2:12">
      <c r="B70" t="s">
        <v>96</v>
      </c>
    </row>
    <row r="71" spans="2:12">
      <c r="B71" s="18" t="s">
        <v>100</v>
      </c>
      <c r="C71" s="18">
        <v>2018</v>
      </c>
      <c r="D71" s="18">
        <v>2019</v>
      </c>
      <c r="E71" s="18">
        <v>2020</v>
      </c>
      <c r="F71" s="18">
        <v>2021</v>
      </c>
      <c r="G71" s="18">
        <v>2022</v>
      </c>
      <c r="H71" s="18"/>
      <c r="I71" s="18"/>
      <c r="J71" s="18"/>
      <c r="K71" s="18"/>
      <c r="L71" s="18"/>
    </row>
    <row r="72" spans="2:12">
      <c r="B72" t="s">
        <v>8</v>
      </c>
      <c r="C72" s="17">
        <v>2.2834091717969098</v>
      </c>
      <c r="D72" s="17">
        <v>2.0586763869000002</v>
      </c>
      <c r="E72" s="17">
        <v>1.87638593892549</v>
      </c>
      <c r="F72" s="17">
        <v>2.0216597590255301</v>
      </c>
      <c r="G72" s="17">
        <v>1.4901092485791101</v>
      </c>
      <c r="H72" s="17"/>
      <c r="I72" s="17"/>
      <c r="J72" s="17"/>
      <c r="K72" s="17"/>
      <c r="L72" s="17"/>
    </row>
    <row r="73" spans="2:12">
      <c r="B73" t="s">
        <v>94</v>
      </c>
      <c r="C73" s="17">
        <v>2.4273676740859398</v>
      </c>
      <c r="D73" s="17">
        <v>2.2519660339999898</v>
      </c>
      <c r="E73" s="17">
        <v>1.8755685910183899</v>
      </c>
      <c r="F73" s="17">
        <v>2.0216597590255301</v>
      </c>
      <c r="G73" s="17">
        <v>1.4627870803599501</v>
      </c>
      <c r="H73" s="17"/>
      <c r="I73" s="17"/>
      <c r="J73" s="17"/>
      <c r="K73" s="17"/>
      <c r="L73" s="17"/>
    </row>
    <row r="74" spans="2:12">
      <c r="B74" t="s">
        <v>95</v>
      </c>
      <c r="C74" s="17">
        <v>2.7697987080678099</v>
      </c>
      <c r="D74" s="17">
        <v>2.8429992616000002</v>
      </c>
      <c r="E74" s="17">
        <v>2.86628198659858</v>
      </c>
      <c r="F74" s="17">
        <v>3.31430452339879</v>
      </c>
      <c r="G74" s="17">
        <v>2.5815045397039902</v>
      </c>
      <c r="H74" s="17"/>
      <c r="I74" s="17"/>
      <c r="J74" s="17"/>
      <c r="K74" s="17"/>
      <c r="L74" s="17"/>
    </row>
    <row r="75" spans="2:12">
      <c r="B75" t="s">
        <v>49</v>
      </c>
      <c r="C75">
        <v>2.0299999999999998</v>
      </c>
      <c r="D75">
        <v>2.0299999999999998</v>
      </c>
      <c r="E75">
        <v>1.76</v>
      </c>
      <c r="F75">
        <v>1.86</v>
      </c>
      <c r="G75">
        <v>1.5</v>
      </c>
    </row>
    <row r="91" spans="2:7">
      <c r="B91" t="s">
        <v>96</v>
      </c>
    </row>
    <row r="92" spans="2:7">
      <c r="B92" s="18" t="s">
        <v>101</v>
      </c>
      <c r="C92" s="18">
        <v>2018</v>
      </c>
      <c r="D92" s="18">
        <v>2019</v>
      </c>
      <c r="E92" s="18">
        <v>2020</v>
      </c>
      <c r="F92" s="18">
        <v>2021</v>
      </c>
      <c r="G92" s="18">
        <v>2022</v>
      </c>
    </row>
    <row r="93" spans="2:7">
      <c r="B93" t="s">
        <v>8</v>
      </c>
      <c r="C93" s="17">
        <v>3.1176470588235299</v>
      </c>
      <c r="D93" s="17">
        <v>2.8678001960671802</v>
      </c>
      <c r="E93" s="17">
        <v>2.5374844226411302</v>
      </c>
      <c r="F93" s="17">
        <v>2.9260266181555799</v>
      </c>
      <c r="G93" s="17">
        <v>2.3198710331219399</v>
      </c>
    </row>
    <row r="94" spans="2:7">
      <c r="B94" t="s">
        <v>94</v>
      </c>
      <c r="C94" s="17">
        <v>3.2198589181614099</v>
      </c>
      <c r="D94" s="17">
        <v>3.2965726587617401</v>
      </c>
      <c r="E94" s="17">
        <v>2.6408334713503301</v>
      </c>
      <c r="F94" s="17">
        <v>2.9639477587395699</v>
      </c>
      <c r="G94" s="17">
        <v>2.2426905592543198</v>
      </c>
    </row>
    <row r="95" spans="2:7">
      <c r="B95" t="s">
        <v>95</v>
      </c>
      <c r="C95" s="17">
        <v>3.6985668053629199</v>
      </c>
      <c r="D95" s="17">
        <v>3.2225206171214702</v>
      </c>
      <c r="E95" s="17">
        <v>3.1361842105263098</v>
      </c>
      <c r="F95" s="17">
        <v>3.9147642710689801</v>
      </c>
      <c r="G95" s="17">
        <v>3.0165758486181602</v>
      </c>
    </row>
    <row r="96" spans="2:7">
      <c r="B96" t="s">
        <v>49</v>
      </c>
      <c r="C96">
        <v>2.62</v>
      </c>
      <c r="D96">
        <v>2.62</v>
      </c>
      <c r="E96">
        <v>2.35</v>
      </c>
      <c r="F96">
        <v>1.86</v>
      </c>
      <c r="G96">
        <v>1.5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3796-6E05-49D5-A179-8A7087AEAB76}">
  <dimension ref="B1:D34"/>
  <sheetViews>
    <sheetView workbookViewId="0">
      <selection activeCell="E3" sqref="E3"/>
    </sheetView>
  </sheetViews>
  <sheetFormatPr baseColWidth="10" defaultRowHeight="15"/>
  <sheetData>
    <row r="1" spans="2:4">
      <c r="B1" t="s">
        <v>102</v>
      </c>
      <c r="C1" t="s">
        <v>103</v>
      </c>
      <c r="D1" t="s">
        <v>104</v>
      </c>
    </row>
    <row r="2" spans="2:4">
      <c r="B2" t="s">
        <v>105</v>
      </c>
      <c r="C2">
        <v>6.99</v>
      </c>
      <c r="D2">
        <v>0.27050000000000002</v>
      </c>
    </row>
    <row r="3" spans="2:4">
      <c r="B3" t="s">
        <v>106</v>
      </c>
      <c r="C3">
        <v>6.19</v>
      </c>
      <c r="D3">
        <v>0.37309999999999999</v>
      </c>
    </row>
    <row r="4" spans="2:4">
      <c r="B4" t="s">
        <v>107</v>
      </c>
      <c r="C4">
        <v>5.97</v>
      </c>
      <c r="D4">
        <v>0.37840000000000001</v>
      </c>
    </row>
    <row r="5" spans="2:4">
      <c r="B5" t="s">
        <v>108</v>
      </c>
      <c r="C5">
        <v>5.82</v>
      </c>
      <c r="D5">
        <v>0.41160000000000002</v>
      </c>
    </row>
    <row r="6" spans="2:4">
      <c r="B6" t="s">
        <v>109</v>
      </c>
      <c r="C6">
        <v>5.71</v>
      </c>
      <c r="D6">
        <v>0.40620000000000001</v>
      </c>
    </row>
    <row r="7" spans="2:4">
      <c r="B7" t="s">
        <v>110</v>
      </c>
      <c r="C7">
        <v>5.36</v>
      </c>
      <c r="D7">
        <v>0.40329999999999999</v>
      </c>
    </row>
    <row r="8" spans="2:4">
      <c r="B8" t="s">
        <v>111</v>
      </c>
      <c r="C8">
        <v>5.32</v>
      </c>
      <c r="D8">
        <v>0.4178</v>
      </c>
    </row>
    <row r="9" spans="2:4">
      <c r="B9" t="s">
        <v>112</v>
      </c>
      <c r="C9">
        <v>5.2</v>
      </c>
      <c r="D9">
        <v>0.4163</v>
      </c>
    </row>
    <row r="10" spans="2:4">
      <c r="B10" t="s">
        <v>113</v>
      </c>
      <c r="C10">
        <v>5.14</v>
      </c>
      <c r="D10">
        <v>0.43780000000000002</v>
      </c>
    </row>
    <row r="11" spans="2:4">
      <c r="B11" t="s">
        <v>114</v>
      </c>
      <c r="C11">
        <v>5.0599999999999996</v>
      </c>
      <c r="D11">
        <v>0.39600000000000002</v>
      </c>
    </row>
    <row r="12" spans="2:4">
      <c r="B12" t="s">
        <v>115</v>
      </c>
      <c r="C12">
        <v>4.78</v>
      </c>
      <c r="D12">
        <v>0.41089999999999999</v>
      </c>
    </row>
    <row r="13" spans="2:4">
      <c r="B13" t="s">
        <v>116</v>
      </c>
      <c r="C13">
        <v>4.5999999999999996</v>
      </c>
      <c r="D13">
        <v>0.4461</v>
      </c>
    </row>
    <row r="14" spans="2:4">
      <c r="B14" t="s">
        <v>117</v>
      </c>
      <c r="C14">
        <v>4.3600000000000003</v>
      </c>
      <c r="D14">
        <v>0.435</v>
      </c>
    </row>
    <row r="15" spans="2:4">
      <c r="B15" t="s">
        <v>118</v>
      </c>
      <c r="C15">
        <v>4.2699999999999996</v>
      </c>
      <c r="D15">
        <v>0.44490000000000002</v>
      </c>
    </row>
    <row r="16" spans="2:4">
      <c r="B16" t="s">
        <v>119</v>
      </c>
      <c r="C16">
        <v>4.2</v>
      </c>
      <c r="D16">
        <v>0.47660000000000002</v>
      </c>
    </row>
    <row r="17" spans="2:4">
      <c r="B17" t="s">
        <v>120</v>
      </c>
      <c r="C17">
        <v>4.1100000000000003</v>
      </c>
      <c r="D17">
        <v>0.50819999999999999</v>
      </c>
    </row>
    <row r="18" spans="2:4">
      <c r="B18" t="s">
        <v>121</v>
      </c>
      <c r="C18">
        <v>3.98</v>
      </c>
      <c r="D18">
        <v>0.48920000000000002</v>
      </c>
    </row>
    <row r="19" spans="2:4">
      <c r="B19" t="s">
        <v>122</v>
      </c>
      <c r="C19">
        <v>3.93</v>
      </c>
      <c r="D19">
        <v>0.47620000000000001</v>
      </c>
    </row>
    <row r="20" spans="2:4">
      <c r="B20" t="s">
        <v>123</v>
      </c>
      <c r="C20">
        <v>3.87</v>
      </c>
      <c r="D20">
        <v>0.50060000000000004</v>
      </c>
    </row>
    <row r="21" spans="2:4">
      <c r="B21" t="s">
        <v>124</v>
      </c>
      <c r="C21">
        <v>3.78</v>
      </c>
      <c r="D21">
        <v>0.50790000000000002</v>
      </c>
    </row>
    <row r="22" spans="2:4">
      <c r="B22" t="s">
        <v>125</v>
      </c>
      <c r="C22">
        <v>3.7</v>
      </c>
      <c r="D22">
        <v>0.48020000000000002</v>
      </c>
    </row>
    <row r="23" spans="2:4">
      <c r="B23" t="s">
        <v>126</v>
      </c>
      <c r="C23">
        <v>3.67</v>
      </c>
      <c r="D23">
        <v>0.54049999999999998</v>
      </c>
    </row>
    <row r="24" spans="2:4">
      <c r="B24" t="s">
        <v>127</v>
      </c>
      <c r="C24">
        <v>3.61</v>
      </c>
      <c r="D24">
        <v>0.53139999999999998</v>
      </c>
    </row>
    <row r="25" spans="2:4">
      <c r="B25" t="s">
        <v>128</v>
      </c>
      <c r="C25">
        <v>3.45</v>
      </c>
      <c r="D25">
        <v>0.5423</v>
      </c>
    </row>
    <row r="26" spans="2:4">
      <c r="B26" t="s">
        <v>129</v>
      </c>
      <c r="C26">
        <v>3.4</v>
      </c>
      <c r="D26">
        <v>0.53800000000000003</v>
      </c>
    </row>
    <row r="27" spans="2:4">
      <c r="B27" t="s">
        <v>130</v>
      </c>
      <c r="C27">
        <v>3.24</v>
      </c>
      <c r="D27">
        <v>0.55389999999999995</v>
      </c>
    </row>
    <row r="28" spans="2:4">
      <c r="B28" t="s">
        <v>131</v>
      </c>
      <c r="C28">
        <v>3.01</v>
      </c>
      <c r="D28">
        <v>0.57789999999999997</v>
      </c>
    </row>
    <row r="29" spans="2:4">
      <c r="B29" t="s">
        <v>132</v>
      </c>
      <c r="C29">
        <v>2.94</v>
      </c>
      <c r="D29">
        <v>0.57299999999999995</v>
      </c>
    </row>
    <row r="30" spans="2:4">
      <c r="B30" t="s">
        <v>133</v>
      </c>
      <c r="C30">
        <v>2.61</v>
      </c>
      <c r="D30">
        <v>0.60060000000000002</v>
      </c>
    </row>
    <row r="31" spans="2:4">
      <c r="B31" t="s">
        <v>134</v>
      </c>
      <c r="C31">
        <v>2.1</v>
      </c>
      <c r="D31">
        <v>0.71850000000000003</v>
      </c>
    </row>
    <row r="32" spans="2:4">
      <c r="B32" t="s">
        <v>135</v>
      </c>
      <c r="C32">
        <v>2.1</v>
      </c>
      <c r="D32">
        <v>0.67179999999999995</v>
      </c>
    </row>
    <row r="33" spans="2:4">
      <c r="B33" t="s">
        <v>136</v>
      </c>
      <c r="C33">
        <v>1.47</v>
      </c>
      <c r="D33">
        <v>0.72970000000000002</v>
      </c>
    </row>
    <row r="34" spans="2:4">
      <c r="B34" t="s">
        <v>137</v>
      </c>
      <c r="C34">
        <v>1.4</v>
      </c>
      <c r="D34">
        <v>0.70130000000000003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2647-86EF-4FB7-8E58-D60A34004320}">
  <dimension ref="A1:M38"/>
  <sheetViews>
    <sheetView topLeftCell="A13" workbookViewId="0">
      <selection activeCell="E27" sqref="E27:F28"/>
    </sheetView>
  </sheetViews>
  <sheetFormatPr baseColWidth="10" defaultRowHeight="15"/>
  <cols>
    <col min="1" max="1" width="8.7109375" customWidth="1"/>
    <col min="2" max="2" width="5.5703125" customWidth="1"/>
    <col min="8" max="8" width="21.42578125" customWidth="1"/>
    <col min="9" max="9" width="4.85546875" customWidth="1"/>
    <col min="10" max="10" width="3.85546875" customWidth="1"/>
    <col min="13" max="13" width="12.85546875" customWidth="1"/>
  </cols>
  <sheetData>
    <row r="1" spans="1:13">
      <c r="B1" t="s">
        <v>143</v>
      </c>
      <c r="J1" t="s">
        <v>144</v>
      </c>
    </row>
    <row r="2" spans="1:13">
      <c r="B2" t="s">
        <v>138</v>
      </c>
      <c r="C2" t="s">
        <v>139</v>
      </c>
      <c r="K2" s="44" t="s">
        <v>140</v>
      </c>
      <c r="L2" s="44"/>
      <c r="M2" s="44"/>
    </row>
    <row r="3" spans="1:13">
      <c r="B3">
        <v>1</v>
      </c>
      <c r="C3" s="21">
        <f>+(B3*60*60*24*30)/(8000)</f>
        <v>324</v>
      </c>
      <c r="K3" s="23" t="s">
        <v>145</v>
      </c>
      <c r="L3" s="23" t="s">
        <v>159</v>
      </c>
      <c r="M3" s="23" t="s">
        <v>147</v>
      </c>
    </row>
    <row r="4" spans="1:13" ht="29.25" customHeight="1">
      <c r="C4" s="45" t="s">
        <v>171</v>
      </c>
      <c r="D4" s="45"/>
      <c r="E4" s="45"/>
      <c r="F4" s="45"/>
      <c r="G4" s="45"/>
      <c r="I4" s="47" t="s">
        <v>174</v>
      </c>
      <c r="J4" s="23">
        <v>1</v>
      </c>
      <c r="K4" s="24" t="s">
        <v>148</v>
      </c>
      <c r="L4" s="24" t="s">
        <v>148</v>
      </c>
      <c r="M4" s="24" t="s">
        <v>148</v>
      </c>
    </row>
    <row r="5" spans="1:13" ht="29.25" customHeight="1">
      <c r="C5" s="28">
        <v>0.4</v>
      </c>
      <c r="D5" s="28">
        <v>0.5</v>
      </c>
      <c r="E5" s="28">
        <v>0.6</v>
      </c>
      <c r="F5" s="28">
        <v>0.7</v>
      </c>
      <c r="G5" s="28">
        <v>0.8</v>
      </c>
      <c r="I5" s="47"/>
      <c r="J5" s="23">
        <v>2</v>
      </c>
      <c r="K5" s="24" t="s">
        <v>148</v>
      </c>
      <c r="L5" s="25" t="s">
        <v>146</v>
      </c>
      <c r="M5" s="25" t="s">
        <v>150</v>
      </c>
    </row>
    <row r="6" spans="1:13" ht="29.25" customHeight="1">
      <c r="A6" s="46" t="s">
        <v>172</v>
      </c>
      <c r="B6" s="29">
        <v>0.01</v>
      </c>
      <c r="C6" s="30">
        <f>+$C$3*$B6*C$5</f>
        <v>1.2960000000000003</v>
      </c>
      <c r="D6" s="30">
        <f t="shared" ref="D6:G11" si="0">+$C$3*$B6*D$5</f>
        <v>1.62</v>
      </c>
      <c r="E6" s="30">
        <f t="shared" si="0"/>
        <v>1.944</v>
      </c>
      <c r="F6" s="30">
        <f t="shared" si="0"/>
        <v>2.2679999999999998</v>
      </c>
      <c r="G6" s="30">
        <f t="shared" si="0"/>
        <v>2.5920000000000005</v>
      </c>
      <c r="I6" s="47"/>
      <c r="J6" s="23">
        <v>3</v>
      </c>
      <c r="K6" s="25" t="s">
        <v>146</v>
      </c>
      <c r="L6" s="25" t="s">
        <v>146</v>
      </c>
      <c r="M6" s="26" t="s">
        <v>149</v>
      </c>
    </row>
    <row r="7" spans="1:13" ht="30" customHeight="1">
      <c r="A7" s="46"/>
      <c r="B7" s="29">
        <v>0.02</v>
      </c>
      <c r="C7" s="30">
        <f t="shared" ref="C7:C11" si="1">+$C$3*$B7*C$5</f>
        <v>2.5920000000000005</v>
      </c>
      <c r="D7" s="30">
        <f t="shared" si="0"/>
        <v>3.24</v>
      </c>
      <c r="E7" s="31">
        <f t="shared" si="0"/>
        <v>3.8879999999999999</v>
      </c>
      <c r="F7" s="30">
        <f t="shared" si="0"/>
        <v>4.5359999999999996</v>
      </c>
      <c r="G7" s="30">
        <f t="shared" si="0"/>
        <v>5.1840000000000011</v>
      </c>
      <c r="I7" s="47"/>
      <c r="J7" s="23">
        <v>4</v>
      </c>
      <c r="K7" s="25" t="s">
        <v>146</v>
      </c>
      <c r="L7" s="26" t="s">
        <v>149</v>
      </c>
      <c r="M7" s="26" t="s">
        <v>149</v>
      </c>
    </row>
    <row r="8" spans="1:13">
      <c r="A8" s="46"/>
      <c r="B8" s="29">
        <v>0.03</v>
      </c>
      <c r="C8" s="30">
        <f t="shared" si="1"/>
        <v>3.8879999999999999</v>
      </c>
      <c r="D8" s="30">
        <f t="shared" si="0"/>
        <v>4.8599999999999994</v>
      </c>
      <c r="E8" s="30">
        <f t="shared" si="0"/>
        <v>5.831999999999999</v>
      </c>
      <c r="F8" s="30">
        <f t="shared" si="0"/>
        <v>6.8039999999999985</v>
      </c>
      <c r="G8" s="30">
        <f t="shared" si="0"/>
        <v>7.7759999999999998</v>
      </c>
    </row>
    <row r="9" spans="1:13">
      <c r="A9" s="46"/>
      <c r="B9" s="29">
        <v>0.05</v>
      </c>
      <c r="C9" s="30">
        <f t="shared" si="1"/>
        <v>6.48</v>
      </c>
      <c r="D9" s="30">
        <f t="shared" si="0"/>
        <v>8.1</v>
      </c>
      <c r="E9" s="30">
        <f t="shared" si="0"/>
        <v>9.7199999999999989</v>
      </c>
      <c r="F9" s="30">
        <f t="shared" si="0"/>
        <v>11.339999999999998</v>
      </c>
      <c r="G9" s="30">
        <f t="shared" si="0"/>
        <v>12.96</v>
      </c>
      <c r="J9" t="s">
        <v>151</v>
      </c>
      <c r="K9" t="s">
        <v>154</v>
      </c>
    </row>
    <row r="10" spans="1:13">
      <c r="A10" s="46"/>
      <c r="B10" s="29">
        <v>0.1</v>
      </c>
      <c r="C10" s="30">
        <f t="shared" si="1"/>
        <v>12.96</v>
      </c>
      <c r="D10" s="30">
        <f t="shared" si="0"/>
        <v>16.2</v>
      </c>
      <c r="E10" s="30">
        <f t="shared" si="0"/>
        <v>19.439999999999998</v>
      </c>
      <c r="F10" s="30">
        <f t="shared" si="0"/>
        <v>22.679999999999996</v>
      </c>
      <c r="G10" s="30">
        <f t="shared" si="0"/>
        <v>25.92</v>
      </c>
      <c r="J10" t="s">
        <v>152</v>
      </c>
      <c r="K10" t="s">
        <v>155</v>
      </c>
    </row>
    <row r="11" spans="1:13">
      <c r="A11" s="46"/>
      <c r="B11" s="29">
        <v>0.2</v>
      </c>
      <c r="C11" s="30">
        <f t="shared" si="1"/>
        <v>25.92</v>
      </c>
      <c r="D11" s="30">
        <f t="shared" si="0"/>
        <v>32.4</v>
      </c>
      <c r="E11" s="30">
        <f t="shared" si="0"/>
        <v>38.879999999999995</v>
      </c>
      <c r="F11" s="30">
        <f t="shared" si="0"/>
        <v>45.359999999999992</v>
      </c>
      <c r="G11" s="30">
        <f t="shared" si="0"/>
        <v>51.84</v>
      </c>
      <c r="J11" t="s">
        <v>153</v>
      </c>
      <c r="K11" t="s">
        <v>156</v>
      </c>
    </row>
    <row r="13" spans="1:13">
      <c r="B13" t="s">
        <v>141</v>
      </c>
      <c r="J13" t="s">
        <v>157</v>
      </c>
      <c r="K13" t="s">
        <v>161</v>
      </c>
    </row>
    <row r="14" spans="1:13">
      <c r="B14" t="s">
        <v>142</v>
      </c>
      <c r="J14" t="s">
        <v>160</v>
      </c>
      <c r="K14" t="s">
        <v>162</v>
      </c>
    </row>
    <row r="15" spans="1:13">
      <c r="J15" t="s">
        <v>158</v>
      </c>
      <c r="K15" t="s">
        <v>163</v>
      </c>
    </row>
    <row r="16" spans="1:13">
      <c r="C16">
        <f>+C3/30/24</f>
        <v>0.45</v>
      </c>
    </row>
    <row r="17" spans="1:10">
      <c r="C17" s="45" t="s">
        <v>171</v>
      </c>
      <c r="D17" s="45"/>
      <c r="E17" s="45"/>
      <c r="F17" s="45"/>
      <c r="G17" s="45"/>
      <c r="J17" t="s">
        <v>164</v>
      </c>
    </row>
    <row r="18" spans="1:10">
      <c r="C18" s="28">
        <v>0.4</v>
      </c>
      <c r="D18" s="28">
        <v>0.5</v>
      </c>
      <c r="E18" s="28">
        <v>0.6</v>
      </c>
      <c r="F18" s="28">
        <v>0.7</v>
      </c>
      <c r="G18" s="28">
        <v>0.8</v>
      </c>
    </row>
    <row r="19" spans="1:10">
      <c r="A19" s="46" t="s">
        <v>173</v>
      </c>
      <c r="B19" s="32">
        <v>0.2</v>
      </c>
      <c r="C19" s="30">
        <f>+($B19/$C$16)/C$18</f>
        <v>1.1111111111111112</v>
      </c>
      <c r="D19" s="30">
        <f t="shared" ref="D19:G24" si="2">+($B19/$C$16)/D$18</f>
        <v>0.88888888888888895</v>
      </c>
      <c r="E19" s="30">
        <f t="shared" si="2"/>
        <v>0.74074074074074081</v>
      </c>
      <c r="F19" s="30">
        <f t="shared" si="2"/>
        <v>0.634920634920635</v>
      </c>
      <c r="G19" s="30">
        <f t="shared" si="2"/>
        <v>0.55555555555555558</v>
      </c>
    </row>
    <row r="20" spans="1:10">
      <c r="A20" s="46"/>
      <c r="B20" s="32">
        <f>+B19+$B$19</f>
        <v>0.4</v>
      </c>
      <c r="C20" s="30">
        <f t="shared" ref="C20:C24" si="3">+($B20/$C$16)/C$18</f>
        <v>2.2222222222222223</v>
      </c>
      <c r="D20" s="30">
        <f t="shared" si="2"/>
        <v>1.7777777777777779</v>
      </c>
      <c r="E20" s="30">
        <f t="shared" si="2"/>
        <v>1.4814814814814816</v>
      </c>
      <c r="F20" s="30">
        <f t="shared" si="2"/>
        <v>1.26984126984127</v>
      </c>
      <c r="G20" s="30">
        <f t="shared" si="2"/>
        <v>1.1111111111111112</v>
      </c>
      <c r="J20">
        <f>4/44</f>
        <v>9.0909090909090912E-2</v>
      </c>
    </row>
    <row r="21" spans="1:10">
      <c r="A21" s="46"/>
      <c r="B21" s="32">
        <f>+B20+$B$19</f>
        <v>0.60000000000000009</v>
      </c>
      <c r="C21" s="30">
        <f t="shared" si="3"/>
        <v>3.3333333333333335</v>
      </c>
      <c r="D21" s="30">
        <f t="shared" si="2"/>
        <v>2.666666666666667</v>
      </c>
      <c r="E21" s="30">
        <f t="shared" si="2"/>
        <v>2.2222222222222228</v>
      </c>
      <c r="F21" s="30">
        <f t="shared" si="2"/>
        <v>1.9047619047619051</v>
      </c>
      <c r="G21" s="30">
        <f t="shared" si="2"/>
        <v>1.6666666666666667</v>
      </c>
      <c r="J21">
        <f>5/44</f>
        <v>0.11363636363636363</v>
      </c>
    </row>
    <row r="22" spans="1:10">
      <c r="A22" s="46"/>
      <c r="B22" s="32">
        <f>+B21+$B$19</f>
        <v>0.8</v>
      </c>
      <c r="C22" s="30">
        <f t="shared" si="3"/>
        <v>4.4444444444444446</v>
      </c>
      <c r="D22" s="30">
        <f t="shared" si="2"/>
        <v>3.5555555555555558</v>
      </c>
      <c r="E22" s="30">
        <f t="shared" si="2"/>
        <v>2.9629629629629632</v>
      </c>
      <c r="F22" s="30">
        <f t="shared" si="2"/>
        <v>2.53968253968254</v>
      </c>
      <c r="G22" s="30">
        <f t="shared" si="2"/>
        <v>2.2222222222222223</v>
      </c>
    </row>
    <row r="23" spans="1:10">
      <c r="A23" s="46"/>
      <c r="B23" s="32">
        <f>+B22+$B$19</f>
        <v>1</v>
      </c>
      <c r="C23" s="30">
        <f t="shared" si="3"/>
        <v>5.5555555555555554</v>
      </c>
      <c r="D23" s="30">
        <f t="shared" si="2"/>
        <v>4.4444444444444446</v>
      </c>
      <c r="E23" s="30">
        <f t="shared" si="2"/>
        <v>3.7037037037037042</v>
      </c>
      <c r="F23" s="30">
        <f t="shared" si="2"/>
        <v>3.1746031746031749</v>
      </c>
      <c r="G23" s="30">
        <f t="shared" si="2"/>
        <v>2.7777777777777777</v>
      </c>
      <c r="I23" s="33"/>
    </row>
    <row r="24" spans="1:10">
      <c r="A24" s="46"/>
      <c r="B24" s="32">
        <v>2</v>
      </c>
      <c r="C24" s="30">
        <f t="shared" si="3"/>
        <v>11.111111111111111</v>
      </c>
      <c r="D24" s="30">
        <f t="shared" si="2"/>
        <v>8.8888888888888893</v>
      </c>
      <c r="E24" s="30">
        <f t="shared" si="2"/>
        <v>7.4074074074074083</v>
      </c>
      <c r="F24" s="30">
        <f t="shared" si="2"/>
        <v>6.3492063492063497</v>
      </c>
      <c r="G24" s="30">
        <f t="shared" si="2"/>
        <v>5.5555555555555554</v>
      </c>
      <c r="I24" s="33"/>
    </row>
    <row r="33" spans="2:3">
      <c r="B33" s="45" t="s">
        <v>169</v>
      </c>
      <c r="C33" s="45"/>
    </row>
    <row r="34" spans="2:3">
      <c r="B34" s="27" t="s">
        <v>170</v>
      </c>
      <c r="C34" s="27" t="s">
        <v>138</v>
      </c>
    </row>
    <row r="35" spans="2:3">
      <c r="B35" s="22" t="s">
        <v>165</v>
      </c>
      <c r="C35" s="22">
        <v>1</v>
      </c>
    </row>
    <row r="36" spans="2:3">
      <c r="B36" s="22" t="s">
        <v>166</v>
      </c>
      <c r="C36" s="22">
        <v>3</v>
      </c>
    </row>
    <row r="37" spans="2:3">
      <c r="B37" s="22" t="s">
        <v>167</v>
      </c>
      <c r="C37" s="22">
        <v>5</v>
      </c>
    </row>
    <row r="38" spans="2:3">
      <c r="B38" s="22" t="s">
        <v>168</v>
      </c>
      <c r="C38" s="22">
        <v>15</v>
      </c>
    </row>
  </sheetData>
  <mergeCells count="7">
    <mergeCell ref="K2:M2"/>
    <mergeCell ref="B33:C33"/>
    <mergeCell ref="A6:A11"/>
    <mergeCell ref="C4:G4"/>
    <mergeCell ref="C17:G17"/>
    <mergeCell ref="A19:A24"/>
    <mergeCell ref="I4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A823-EA5F-4F18-9221-CA30CF4DED8F}">
  <dimension ref="B4:D11"/>
  <sheetViews>
    <sheetView workbookViewId="0">
      <selection activeCell="M13" sqref="M13"/>
    </sheetView>
  </sheetViews>
  <sheetFormatPr baseColWidth="10" defaultRowHeight="15"/>
  <sheetData>
    <row r="4" spans="2:4">
      <c r="B4" t="s">
        <v>175</v>
      </c>
    </row>
    <row r="5" spans="2:4">
      <c r="B5" t="s">
        <v>178</v>
      </c>
      <c r="C5" s="20">
        <f t="shared" ref="C5:C11" si="0">+D5-D6</f>
        <v>1.0000000000000009E-2</v>
      </c>
      <c r="D5" s="20">
        <v>1</v>
      </c>
    </row>
    <row r="6" spans="2:4">
      <c r="B6" t="s">
        <v>179</v>
      </c>
      <c r="C6" s="20">
        <f t="shared" si="0"/>
        <v>0.17000000000000004</v>
      </c>
      <c r="D6" s="20">
        <v>0.99</v>
      </c>
    </row>
    <row r="7" spans="2:4">
      <c r="B7" t="s">
        <v>180</v>
      </c>
      <c r="C7" s="20">
        <f t="shared" si="0"/>
        <v>0.22999999999999998</v>
      </c>
      <c r="D7" s="20">
        <v>0.82</v>
      </c>
    </row>
    <row r="8" spans="2:4">
      <c r="B8" t="s">
        <v>181</v>
      </c>
      <c r="C8" s="20">
        <f t="shared" si="0"/>
        <v>0.22999999999999998</v>
      </c>
      <c r="D8" s="20">
        <v>0.59</v>
      </c>
    </row>
    <row r="9" spans="2:4">
      <c r="B9" t="s">
        <v>182</v>
      </c>
      <c r="C9" s="20">
        <f t="shared" si="0"/>
        <v>0.18</v>
      </c>
      <c r="D9" s="20">
        <v>0.36</v>
      </c>
    </row>
    <row r="10" spans="2:4">
      <c r="B10" t="s">
        <v>177</v>
      </c>
      <c r="C10" s="20">
        <f t="shared" si="0"/>
        <v>0.13999999999999999</v>
      </c>
      <c r="D10" s="20">
        <v>0.18</v>
      </c>
    </row>
    <row r="11" spans="2:4">
      <c r="B11" t="s">
        <v>176</v>
      </c>
      <c r="C11" s="20">
        <f t="shared" si="0"/>
        <v>0.04</v>
      </c>
      <c r="D11" s="20">
        <v>0.04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6E3A-95AE-4616-84AD-7D0B7A92FB08}">
  <dimension ref="B2:M7"/>
  <sheetViews>
    <sheetView tabSelected="1" topLeftCell="A2" workbookViewId="0">
      <selection activeCell="B2" sqref="B2:K5"/>
    </sheetView>
  </sheetViews>
  <sheetFormatPr baseColWidth="10" defaultRowHeight="15"/>
  <sheetData>
    <row r="2" spans="2:13">
      <c r="C2" t="s">
        <v>187</v>
      </c>
      <c r="D2" t="s">
        <v>188</v>
      </c>
      <c r="E2" t="s">
        <v>189</v>
      </c>
      <c r="F2" t="s">
        <v>190</v>
      </c>
      <c r="G2" t="s">
        <v>59</v>
      </c>
      <c r="H2" t="s">
        <v>191</v>
      </c>
      <c r="I2" t="s">
        <v>192</v>
      </c>
      <c r="J2" t="s">
        <v>193</v>
      </c>
      <c r="K2" t="s">
        <v>194</v>
      </c>
    </row>
    <row r="3" spans="2:13">
      <c r="B3" t="s">
        <v>183</v>
      </c>
      <c r="C3" s="48">
        <v>0.64300000000000002</v>
      </c>
      <c r="D3" s="48">
        <v>0.28100000000000003</v>
      </c>
      <c r="E3" s="48">
        <v>0.28499999999999998</v>
      </c>
      <c r="F3" s="48">
        <v>0.311</v>
      </c>
      <c r="G3" s="48">
        <v>0.23499999999999999</v>
      </c>
      <c r="H3" s="48">
        <v>0.26800000000000002</v>
      </c>
      <c r="I3" s="48">
        <v>0.32400000000000001</v>
      </c>
      <c r="J3" s="48"/>
      <c r="K3" s="48">
        <v>0.245</v>
      </c>
      <c r="M3">
        <f>+D3/C3</f>
        <v>0.43701399688958015</v>
      </c>
    </row>
    <row r="4" spans="2:13">
      <c r="B4" t="s">
        <v>184</v>
      </c>
      <c r="C4" s="48">
        <v>0.39800000000000002</v>
      </c>
      <c r="D4" s="48">
        <v>0.21299999999999999</v>
      </c>
      <c r="E4" s="48">
        <v>0.17899999999999999</v>
      </c>
      <c r="F4" s="48">
        <v>0.24299999999999999</v>
      </c>
      <c r="G4" s="48">
        <v>0.17299999999999999</v>
      </c>
      <c r="H4" s="48">
        <v>0.17899999999999999</v>
      </c>
      <c r="I4" s="48">
        <v>0.24399999999999999</v>
      </c>
      <c r="J4" s="48">
        <v>0.42899999999999999</v>
      </c>
      <c r="K4" s="48">
        <v>0.113</v>
      </c>
      <c r="M4">
        <f>+D4/C4</f>
        <v>0.53517587939698485</v>
      </c>
    </row>
    <row r="5" spans="2:13">
      <c r="B5" t="s">
        <v>185</v>
      </c>
      <c r="C5" s="48">
        <v>7.0999999999999994E-2</v>
      </c>
      <c r="D5" s="48">
        <v>5.5E-2</v>
      </c>
      <c r="E5" s="48">
        <v>3.1E-2</v>
      </c>
      <c r="F5" s="48">
        <v>6.8000000000000005E-2</v>
      </c>
      <c r="G5" s="48">
        <v>3.5000000000000003E-2</v>
      </c>
      <c r="H5" s="48">
        <v>5.8000000000000003E-2</v>
      </c>
      <c r="I5" s="48">
        <v>4.5999999999999999E-2</v>
      </c>
      <c r="J5" s="48">
        <v>0.11600000000000001</v>
      </c>
      <c r="K5" s="48">
        <v>0.03</v>
      </c>
      <c r="M5">
        <f>+D5/C5</f>
        <v>0.77464788732394374</v>
      </c>
    </row>
    <row r="6" spans="2:13">
      <c r="B6" t="s">
        <v>186</v>
      </c>
      <c r="C6" s="48"/>
      <c r="D6" s="48"/>
      <c r="E6" s="48"/>
      <c r="F6" s="48"/>
      <c r="G6" s="48"/>
      <c r="H6" s="48"/>
      <c r="I6" s="48"/>
      <c r="J6" s="48"/>
      <c r="K6" s="48"/>
    </row>
    <row r="7" spans="2:13">
      <c r="D7" s="49">
        <f>+SUM(D3:D5)</f>
        <v>0.54900000000000004</v>
      </c>
      <c r="E7" s="49">
        <f t="shared" ref="E7:K7" si="0">+SUM(E3:E5)</f>
        <v>0.495</v>
      </c>
      <c r="F7" s="49">
        <f t="shared" si="0"/>
        <v>0.62200000000000011</v>
      </c>
      <c r="G7" s="49">
        <f t="shared" si="0"/>
        <v>0.44299999999999995</v>
      </c>
      <c r="H7" s="49">
        <f t="shared" si="0"/>
        <v>0.505</v>
      </c>
      <c r="I7" s="49">
        <f t="shared" si="0"/>
        <v>0.6140000000000001</v>
      </c>
      <c r="J7" s="49">
        <f t="shared" si="0"/>
        <v>0.54500000000000004</v>
      </c>
      <c r="K7" s="49">
        <f t="shared" si="0"/>
        <v>0.38800000000000001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Penetraciones UIT</vt:lpstr>
      <vt:lpstr>Tenencias UIT</vt:lpstr>
      <vt:lpstr>Canastas UIT</vt:lpstr>
      <vt:lpstr>IDI DNP-IBD MINTIC</vt:lpstr>
      <vt:lpstr>GByte vs Mbps</vt:lpstr>
      <vt:lpstr>Cisco 2023</vt:lpstr>
      <vt:lpstr>BM habilidades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López-Calderón</dc:creator>
  <cp:lastModifiedBy>Mauricio Lopez Calderon Lopez</cp:lastModifiedBy>
  <dcterms:created xsi:type="dcterms:W3CDTF">2023-09-21T14:39:48Z</dcterms:created>
  <dcterms:modified xsi:type="dcterms:W3CDTF">2023-10-16T19:30:05Z</dcterms:modified>
</cp:coreProperties>
</file>